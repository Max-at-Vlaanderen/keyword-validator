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lvo.sharepoint.com/sites/HESoilWiseProject/Gedeelde documenten/WP2/T2.3 AI and ML for data findability and accessibility,/Keyword-matcher/"/>
    </mc:Choice>
  </mc:AlternateContent>
  <xr:revisionPtr revIDLastSave="632" documentId="11_6F3DAE363081E129A2B022BD016664C62CF7D3BC" xr6:coauthVersionLast="47" xr6:coauthVersionMax="47" xr10:uidLastSave="{5071C083-0AD8-44AF-B93C-FAF418CFDE81}"/>
  <bookViews>
    <workbookView xWindow="936" yWindow="936" windowWidth="22104" windowHeight="12228" xr2:uid="{26DF4142-18B7-4636-82D3-CCCBB0064C23}"/>
  </bookViews>
  <sheets>
    <sheet name="result" sheetId="1" r:id="rId1"/>
    <sheet name="keyllm" sheetId="2" r:id="rId2"/>
    <sheet name="result_pivot" sheetId="4" r:id="rId3"/>
    <sheet name="Sheet1" sheetId="3" r:id="rId4"/>
  </sheet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s="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s="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s="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s="1"/>
  <c r="Q1020" i="1" a="1"/>
  <c r="Q1020" i="1" s="1"/>
  <c r="Q1021" i="1" a="1"/>
  <c r="Q1021" i="1" s="1"/>
  <c r="Q1022" i="1" a="1"/>
  <c r="Q1022" i="1" s="1"/>
  <c r="Q1023" i="1" a="1"/>
  <c r="Q1023" i="1" s="1"/>
  <c r="Q1024" i="1" a="1"/>
  <c r="Q1024" i="1" s="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s="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s="1"/>
  <c r="Q1056" i="1" a="1"/>
  <c r="Q1056" i="1" s="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s="1"/>
  <c r="Q1072" i="1" a="1"/>
  <c r="Q1072" i="1" s="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s="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s="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s="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s="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s="1"/>
  <c r="Q1287" i="1" a="1"/>
  <c r="Q1287" i="1" s="1"/>
  <c r="Q1288" i="1" a="1"/>
  <c r="Q1288" i="1" s="1"/>
  <c r="Q1289" i="1" a="1"/>
  <c r="Q1289" i="1" s="1"/>
  <c r="Q1290" i="1" a="1"/>
  <c r="Q1290" i="1" s="1"/>
  <c r="Q1291" i="1" a="1"/>
  <c r="Q1291" i="1" s="1"/>
  <c r="Q1292" i="1" a="1"/>
  <c r="Q1292" i="1" s="1"/>
  <c r="Q1293" i="1" a="1"/>
  <c r="Q1293" i="1" s="1"/>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<sst xmlns="http://schemas.openxmlformats.org/spreadsheetml/2006/main" count="15076" uniqueCount="978">
  <si>
    <t>record_identifier</t>
  </si>
  <si>
    <t>title</t>
  </si>
  <si>
    <t>abstract</t>
  </si>
  <si>
    <t>language</t>
  </si>
  <si>
    <t>keywords_source</t>
  </si>
  <si>
    <t>subject_label</t>
  </si>
  <si>
    <t>subject_kind</t>
  </si>
  <si>
    <t>keyword_matcher_output</t>
  </si>
  <si>
    <t>Review</t>
  </si>
  <si>
    <t>concept_label</t>
  </si>
  <si>
    <t>concept_uri</t>
  </si>
  <si>
    <t>Observable property</t>
  </si>
  <si>
    <t>ce_score</t>
  </si>
  <si>
    <t>ce_rank</t>
  </si>
  <si>
    <t>llm_rank</t>
  </si>
  <si>
    <t>record_evaluated</t>
  </si>
  <si>
    <t>record_has_match</t>
  </si>
  <si>
    <t>10.1007/s10457-025-01358-7</t>
  </si>
  <si>
    <t>Hidden gems: small woody landscape features on agricultural land are overlooked in current assessments of agroforestry in Germany</t>
  </si>
  <si>
    <t>&lt;jats:title&gt;Abstract&lt;/jats:title&gt;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t>
  </si>
  <si>
    <t>en</t>
  </si>
  <si>
    <t>original</t>
  </si>
  <si>
    <t>woody  perennials</t>
  </si>
  <si>
    <t>free_keyword</t>
  </si>
  <si>
    <t>https://w3id.org/eusoilvoc#Trees</t>
  </si>
  <si>
    <t>atkis</t>
  </si>
  <si>
    <t>remote  sensing</t>
  </si>
  <si>
    <t>orthophotos</t>
  </si>
  <si>
    <t>above-ground biomass</t>
  </si>
  <si>
    <t>trees outside forests</t>
  </si>
  <si>
    <t>04 agricultural and veterinary sciences</t>
  </si>
  <si>
    <t>fos</t>
  </si>
  <si>
    <t>0401 agriculture, forestry, and fisheries</t>
  </si>
  <si>
    <t>ce_extracted</t>
  </si>
  <si>
    <t>biomass</t>
  </si>
  <si>
    <t>https://w3id.org/eusoilvoc#Biomass</t>
  </si>
  <si>
    <t>carbon storage capacity</t>
  </si>
  <si>
    <t>https://w3id.org/eusoilvoc#CarbonStorageCapacity</t>
  </si>
  <si>
    <t>soil aggregate size</t>
  </si>
  <si>
    <t>https://w3id.org/eusoilvoc#SoilAggregateSize</t>
  </si>
  <si>
    <t>soil particle size</t>
  </si>
  <si>
    <t>https://w3id.org/eusoilvoc#SoilParticleSize</t>
  </si>
  <si>
    <t>vegetation</t>
  </si>
  <si>
    <t>https://w3id.org/eusoilvoc#Vegetation</t>
  </si>
  <si>
    <t>soil particle size distribution</t>
  </si>
  <si>
    <t>https://w3id.org/eusoilvoc#SoilParticleSizeDistribution</t>
  </si>
  <si>
    <t>soil aggregate size distribution</t>
  </si>
  <si>
    <t>https://w3id.org/eusoilvoc#SoilAggregateSizeDistribution</t>
  </si>
  <si>
    <t>keybert_extracted</t>
  </si>
  <si>
    <t>climate</t>
  </si>
  <si>
    <t>https://w3id.org/eusoilvoc#Climate</t>
  </si>
  <si>
    <t>emissions</t>
  </si>
  <si>
    <t>https://w3id.org/eusoilvoc#Emissions</t>
  </si>
  <si>
    <t>keyllm_extracted</t>
  </si>
  <si>
    <t/>
  </si>
  <si>
    <t>land use</t>
  </si>
  <si>
    <t>https://w3id.org/eusoilvoc#LandUse</t>
  </si>
  <si>
    <t>land cover</t>
  </si>
  <si>
    <t>https://w3id.org/eusoilvoc#LandCover</t>
  </si>
  <si>
    <t>carbon pool</t>
  </si>
  <si>
    <t>https://w3id.org/eusoilvoc#CarbonPools</t>
  </si>
  <si>
    <t>climate regulation</t>
  </si>
  <si>
    <t>https://w3id.org/eusoilvoc#ClimateRegulation</t>
  </si>
  <si>
    <t>tree</t>
  </si>
  <si>
    <t>10.1016/j.scitotenv.2022.156265</t>
  </si>
  <si>
    <t>Building a risk matrix for the safety assessment of wood derived biochars</t>
  </si>
  <si>
    <t>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t>
  </si>
  <si>
    <t>environmental sciences</t>
  </si>
  <si>
    <t>biochar risk assessment gasification temperature chemical-physical tests mutagenic assay phytotoxicity</t>
  </si>
  <si>
    <t>01 natural sciences</t>
  </si>
  <si>
    <t>0106 biological sciences</t>
  </si>
  <si>
    <t>15. life on land</t>
  </si>
  <si>
    <t>sdg</t>
  </si>
  <si>
    <t>gasification temperature</t>
  </si>
  <si>
    <t>13. climate action</t>
  </si>
  <si>
    <t>mutagenic assay</t>
  </si>
  <si>
    <t>biochar risk assessment</t>
  </si>
  <si>
    <t>!</t>
  </si>
  <si>
    <t>chemical-physical tests</t>
  </si>
  <si>
    <t>settore bios-10/a - biologia cellulare e applicata</t>
  </si>
  <si>
    <t>o</t>
  </si>
  <si>
    <t>wood</t>
  </si>
  <si>
    <t>630</t>
  </si>
  <si>
    <t>environmental management</t>
  </si>
  <si>
    <t>soil</t>
  </si>
  <si>
    <t>https://w3id.org/eusoilvoc#Soil</t>
  </si>
  <si>
    <t>phytotoxicity</t>
  </si>
  <si>
    <t>charcoal</t>
  </si>
  <si>
    <t>x</t>
  </si>
  <si>
    <t>agricultural sustainability</t>
  </si>
  <si>
    <t>https://w3id.org/eusoilvoc#AgriculturalSustainability</t>
  </si>
  <si>
    <t>micro-organisms</t>
  </si>
  <si>
    <t>https://w3id.org/eusoilvoc#Microorganisms</t>
  </si>
  <si>
    <t>https://w3id.org/eusoilvoc#Microbes</t>
  </si>
  <si>
    <t>building</t>
  </si>
  <si>
    <t>https://w3id.org/eusoilvoc#Building</t>
  </si>
  <si>
    <t>soil water holding capacity</t>
  </si>
  <si>
    <t>https://w3id.org/eusoilvoc#SoilWaterHoldingCapacity</t>
  </si>
  <si>
    <t>microorganisms</t>
  </si>
  <si>
    <t>seedling emergence</t>
  </si>
  <si>
    <t>https://w3id.org/eusoilvoc#SeedlingEmergence</t>
  </si>
  <si>
    <t>environmental conditions</t>
  </si>
  <si>
    <t>https://w3id.org/eusoilvoc#EnvironmentalFactors</t>
  </si>
  <si>
    <t>soil chemical properties</t>
  </si>
  <si>
    <t>https://w3id.org/eusoilvoc#SoilChemicalProperties</t>
  </si>
  <si>
    <t>soil physical properties</t>
  </si>
  <si>
    <t>https://w3id.org/eusoilvoc#SoilPhysicalProperties</t>
  </si>
  <si>
    <t>soil biological function</t>
  </si>
  <si>
    <t>https://w3id.org/eusoilvoc#SoilBiologicalFunctions</t>
  </si>
  <si>
    <t>10.1021/acs.analchem.5c01659</t>
  </si>
  <si>
    <t>Evaluation of Three Sample Preparation Methods for LC-HRMS Suspect Screening of Contaminants of Emerging Concern in Effluent Wastewater</t>
  </si>
  <si>
    <t>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t>
  </si>
  <si>
    <t>article</t>
  </si>
  <si>
    <t>build resilient infrastructure, promote inclusive and sustainable industrialization and foster innovation</t>
  </si>
  <si>
    <t>make cities and human settlements inclusive, safe, resilient and sustainable</t>
  </si>
  <si>
    <t>mass spectrometry</t>
  </si>
  <si>
    <t>suspect screening</t>
  </si>
  <si>
    <t>wastewater</t>
  </si>
  <si>
    <t>ensure healthy lives and promote well-being for all at all ages</t>
  </si>
  <si>
    <t>solid phase extraction</t>
  </si>
  <si>
    <t>ensure availability and sustainable management of water and sanitation for all</t>
  </si>
  <si>
    <t>ensure sustainable consumption and production patterns</t>
  </si>
  <si>
    <t>take urgent action to combat climate change and its impacts</t>
  </si>
  <si>
    <t>water pollutants, chemical</t>
  </si>
  <si>
    <t>https://w3id.org/eusoilvoc#SoilPollution</t>
  </si>
  <si>
    <t>chromatography, liquid</t>
  </si>
  <si>
    <t>pollution footprint</t>
  </si>
  <si>
    <t>0104 chemical sciences</t>
  </si>
  <si>
    <t>effective CEC</t>
  </si>
  <si>
    <t>https://w3id.org/eusoilvoc#EffectiveCEC</t>
  </si>
  <si>
    <t>micronutrients</t>
  </si>
  <si>
    <t>https://w3id.org/eusoilvoc#Micronutrients</t>
  </si>
  <si>
    <t>macronutrients</t>
  </si>
  <si>
    <t>https://w3id.org/eusoilvoc#Macronutrients</t>
  </si>
  <si>
    <t>soil chemical</t>
  </si>
  <si>
    <t>https://w3id.org/eusoilvoc#SoilChemical</t>
  </si>
  <si>
    <t>soil properties</t>
  </si>
  <si>
    <t>https://w3id.org/eusoilvoc#SoilProperties</t>
  </si>
  <si>
    <t>water purification</t>
  </si>
  <si>
    <t>https://w3id.org/eusoilvoc#WaterPurification</t>
  </si>
  <si>
    <t>water regulation</t>
  </si>
  <si>
    <t>https://w3id.org/eusoilvoc#WaterRegulation</t>
  </si>
  <si>
    <t>water storage capacity</t>
  </si>
  <si>
    <t>https://w3id.org/eusoilvoc#WaterStorageCapacity</t>
  </si>
  <si>
    <t>water transfer (in soil)</t>
  </si>
  <si>
    <t>https://w3id.org/eusoilvoc#SoilWaterMovement</t>
  </si>
  <si>
    <t>waste disposal</t>
  </si>
  <si>
    <t>https://w3id.org/eusoilvoc#WasteDisposal</t>
  </si>
  <si>
    <t>liquid waste disposal</t>
  </si>
  <si>
    <t>https://w3id.org/eusoilvoc#LiquidWasteDisposal</t>
  </si>
  <si>
    <t>environmental factor</t>
  </si>
  <si>
    <t>10.1038/s41396-020-00806-9</t>
  </si>
  <si>
    <t>Microbial competition reduces metabolic interaction distances to the low µm-range</t>
  </si>
  <si>
    <t>&lt;jats:title&gt;Abstract&lt;/jats:title&gt;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t>
  </si>
  <si>
    <t>dynamics</t>
  </si>
  <si>
    <t>lactococcus-lactis</t>
  </si>
  <si>
    <t>biofilms</t>
  </si>
  <si>
    <t>cooperation</t>
  </si>
  <si>
    <t>0301 basic medicine</t>
  </si>
  <si>
    <t>0303 health sciences</t>
  </si>
  <si>
    <t>03 medical and health sciences</t>
  </si>
  <si>
    <t>spatial structure</t>
  </si>
  <si>
    <t>diffusion</t>
  </si>
  <si>
    <t>glucose</t>
  </si>
  <si>
    <t>evolution</t>
  </si>
  <si>
    <t>growth-rate</t>
  </si>
  <si>
    <t>612</t>
  </si>
  <si>
    <t>microbiota</t>
  </si>
  <si>
    <t>gradient</t>
  </si>
  <si>
    <t>https://w3id.org/eusoilvoc#Slope</t>
  </si>
  <si>
    <t>10.1080/17583004.2025.2568042</t>
  </si>
  <si>
    <t>Improving agricultural carbon monitoring with Sentinel-2 and eddy-covariance-based plant productivity estimates</t>
  </si>
  <si>
    <t>&lt;p&gt;Carbon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t>
  </si>
  <si>
    <t>soil carbon inputs</t>
  </si>
  <si>
    <t>https://w3id.org/eusoilvoc#SoilTotalCarbon</t>
  </si>
  <si>
    <t>satellite remote sensing</t>
  </si>
  <si>
    <t>gross primary productivity</t>
  </si>
  <si>
    <t>sentinel-2</t>
  </si>
  <si>
    <t>croplands</t>
  </si>
  <si>
    <t>agronomy</t>
  </si>
  <si>
    <t>root biomass</t>
  </si>
  <si>
    <t>https://w3id.org/eusoilvoc#RootBiomass</t>
  </si>
  <si>
    <t>soil productivity</t>
  </si>
  <si>
    <t>https://w3id.org/eusoilvoc#SoilProductivity</t>
  </si>
  <si>
    <t>soil carbon dioxide production</t>
  </si>
  <si>
    <t>https://w3id.org/eusoilvoc#SoilCarbonDioxideProduction</t>
  </si>
  <si>
    <t>soil total carbon</t>
  </si>
  <si>
    <t>soil gaseous emission</t>
  </si>
  <si>
    <t>https://w3id.org/eusoilvoc#SoilGaseousEmission</t>
  </si>
  <si>
    <t>soil carbon density</t>
  </si>
  <si>
    <t>https://w3id.org/eusoilvoc#SoilCarbonDensity</t>
  </si>
  <si>
    <t>soil organic carbon loss</t>
  </si>
  <si>
    <t>https://w3id.org/eusoilvoc#SOCLoss</t>
  </si>
  <si>
    <t>soil indicators</t>
  </si>
  <si>
    <t>https://w3id.org/eusoilvoc#SoilIndicators</t>
  </si>
  <si>
    <t>crop</t>
  </si>
  <si>
    <t>https://w3id.org/eusoilvoc#Crop</t>
  </si>
  <si>
    <t>grasses</t>
  </si>
  <si>
    <t>https://w3id.org/eusoilvoc#Grasses</t>
  </si>
  <si>
    <t>roots</t>
  </si>
  <si>
    <t>https://w3id.org/eusoilvoc#Roots</t>
  </si>
  <si>
    <t>root</t>
  </si>
  <si>
    <t>inputs</t>
  </si>
  <si>
    <t>https://w3id.org/eusoilvoc#Inputs</t>
  </si>
  <si>
    <t>soil organic carbon</t>
  </si>
  <si>
    <t>https://w3id.org/eusoilvoc#SoilOrganicCarbon</t>
  </si>
  <si>
    <t>carbon pools</t>
  </si>
  <si>
    <t>crop yield</t>
  </si>
  <si>
    <t>https://w3id.org/eusoilvoc#CropYield</t>
  </si>
  <si>
    <t>crop residue mulch</t>
  </si>
  <si>
    <t>https://w3id.org/eusoilvoc#CropResidueMulch</t>
  </si>
  <si>
    <t>soil organic matter</t>
  </si>
  <si>
    <t>https://w3id.org/eusoilvoc#SoilOrganicMatter</t>
  </si>
  <si>
    <t>10.1101/2021.11.19.468202</t>
  </si>
  <si>
    <t>Smart soils to observe hidden rhizosphere processes</t>
  </si>
  <si>
    <t>&lt;jats:title&gt;Summary&lt;/jats:title&gt;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t>
  </si>
  <si>
    <t>2. zero hunger</t>
  </si>
  <si>
    <t>soil biological processes</t>
  </si>
  <si>
    <t>https://w3id.org/eusoilvoc#SoilBiologicalProcesses</t>
  </si>
  <si>
    <t>soil health</t>
  </si>
  <si>
    <t>https://w3id.org/eusoilvoc#SoilQuality</t>
  </si>
  <si>
    <t>https://w3id.org/eusoilvoc#SoilHealth</t>
  </si>
  <si>
    <t>soil environmental functions</t>
  </si>
  <si>
    <t>https://w3id.org/eusoilvoc#SoilEnvironmentalFunctions</t>
  </si>
  <si>
    <t>soil physical processes</t>
  </si>
  <si>
    <t>https://w3id.org/eusoilvoc#SoilPhysicalProcesses</t>
  </si>
  <si>
    <t>soil biological properties</t>
  </si>
  <si>
    <t>https://w3id.org/eusoilvoc#SoilBiologicalProperties</t>
  </si>
  <si>
    <t>soil biological degradation</t>
  </si>
  <si>
    <t>https://w3id.org/eusoilvoc#SoilBiologicalDegradation</t>
  </si>
  <si>
    <t>emission</t>
  </si>
  <si>
    <t>soil chemical processes</t>
  </si>
  <si>
    <t>https://w3id.org/eusoilvoc#SoilChemicalProcesses</t>
  </si>
  <si>
    <t>soil functions</t>
  </si>
  <si>
    <t>https://w3id.org/eusoilvoc#SoilFunctions</t>
  </si>
  <si>
    <t>soil structure</t>
  </si>
  <si>
    <t>https://w3id.org/eusoilvoc#SoilStructure</t>
  </si>
  <si>
    <t>soil processes</t>
  </si>
  <si>
    <t>https://w3id.org/eusoilvoc#SoilProcesses</t>
  </si>
  <si>
    <t>soil pollution</t>
  </si>
  <si>
    <t>10.1111/ejss.13024</t>
  </si>
  <si>
    <t>A decision support framework assessing management impacts on crop yield, soil carbon changes and nitrogen losses to the environment</t>
  </si>
  <si>
    <t>&lt;jats:title&gt;Abstract&lt;/jats:title&gt;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list-type="bullet"&gt;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t>
  </si>
  <si>
    <t>environmental performance</t>
  </si>
  <si>
    <t>12. responsible consumption</t>
  </si>
  <si>
    <t>management</t>
  </si>
  <si>
    <t>nutrient surplus</t>
  </si>
  <si>
    <t>decision support tools</t>
  </si>
  <si>
    <t>soil management</t>
  </si>
  <si>
    <t>https://w3id.org/eusoilvoc#SoilManagement</t>
  </si>
  <si>
    <t>soil agricultural function</t>
  </si>
  <si>
    <t>https://w3id.org/eusoilvoc#SoilAgriculturalFunctions</t>
  </si>
  <si>
    <t>soil fertility</t>
  </si>
  <si>
    <t>soil tillage</t>
  </si>
  <si>
    <t>https://w3id.org/eusoilvoc#SoilTillage</t>
  </si>
  <si>
    <t>nitrogen</t>
  </si>
  <si>
    <t>https://w3id.org/eusoilvoc#Nitrogen</t>
  </si>
  <si>
    <t>SOC</t>
  </si>
  <si>
    <t>soil nitrogen loss</t>
  </si>
  <si>
    <t>https://w3id.org/eusoilvoc#SoilNLoss</t>
  </si>
  <si>
    <t>fertiliser use</t>
  </si>
  <si>
    <t>https://w3id.org/eusoilvoc#FertiliserUse</t>
  </si>
  <si>
    <t>conservation tillage</t>
  </si>
  <si>
    <t>https://w3id.org/eusoilvoc#ConservationTillage</t>
  </si>
  <si>
    <t>no till</t>
  </si>
  <si>
    <t>https://w3id.org/eusoilvoc#NoTill</t>
  </si>
  <si>
    <t>soil indicator</t>
  </si>
  <si>
    <t>10.1111/ejss.13532</t>
  </si>
  <si>
    <t>Role of cover crop roots in soil organic carbon accrual—A review</t>
  </si>
  <si>
    <t>&lt;jats:title&gt;Abstract&lt;/jats:title&gt;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t>
  </si>
  <si>
    <t>0105 earth and related environmental sciences</t>
  </si>
  <si>
    <t>soil depth rootable</t>
  </si>
  <si>
    <t>https://w3id.org/eusoilvoc#SoilDepthRootable</t>
  </si>
  <si>
    <t>soil inorganic carbon</t>
  </si>
  <si>
    <t>https://w3id.org/eusoilvoc#SoilInorganicCarbon</t>
  </si>
  <si>
    <t>soil depth rootable class</t>
  </si>
  <si>
    <t>https://w3id.org/eusoilvoc#SoilDepthRootableClass</t>
  </si>
  <si>
    <t>root growth</t>
  </si>
  <si>
    <t>https://w3id.org/eusoilvoc#RootGrowth</t>
  </si>
  <si>
    <t>soil types</t>
  </si>
  <si>
    <t>https://w3id.org/eusoilvoc#SoilTypes</t>
  </si>
  <si>
    <t>soil organic component</t>
  </si>
  <si>
    <t>https://w3id.org/eusoilvoc#SoilOrganicComponents</t>
  </si>
  <si>
    <t>10.1111/pce.13638</t>
  </si>
  <si>
    <t>Soil carbon dioxide venting through rice roots</t>
  </si>
  <si>
    <t>&lt;jats:title&gt;Abstract&lt;/jats:title&gt;&lt;jats:p&gt;The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t>
  </si>
  <si>
    <t>models, biological</t>
  </si>
  <si>
    <t>plant roots</t>
  </si>
  <si>
    <t>https://w3id.org/eusoilvoc#RootAbundance</t>
  </si>
  <si>
    <t>biological transport</t>
  </si>
  <si>
    <t>x‐ray computed tomography</t>
  </si>
  <si>
    <t>biological models</t>
  </si>
  <si>
    <t>6. clean water</t>
  </si>
  <si>
    <t>580</t>
  </si>
  <si>
    <t>570</t>
  </si>
  <si>
    <t>oryza</t>
  </si>
  <si>
    <t>original articles</t>
  </si>
  <si>
    <t>carbon dioxide</t>
  </si>
  <si>
    <t>soil sensitivity</t>
  </si>
  <si>
    <t>https://w3id.org/eusoilvoc#SoilSensitivity</t>
  </si>
  <si>
    <t>soil pH</t>
  </si>
  <si>
    <t>https://w3id.org/eusoilvoc#SoilpH</t>
  </si>
  <si>
    <t>soil chemical functions</t>
  </si>
  <si>
    <t>https://w3id.org/eusoilvoc#SoilChemicalFunctions</t>
  </si>
  <si>
    <t>soil structural change</t>
  </si>
  <si>
    <t>https://w3id.org/eusoilvoc#SoilStructuralChange</t>
  </si>
  <si>
    <t>soil aeration</t>
  </si>
  <si>
    <t>https://w3id.org/eusoilvoc#SoilAeration</t>
  </si>
  <si>
    <t>soil channel</t>
  </si>
  <si>
    <t>https://w3id.org/eusoilvoc#SoilChannel</t>
  </si>
  <si>
    <t>soil chemical capacity</t>
  </si>
  <si>
    <t>https://w3id.org/eusoilvoc#SoilChemicalCapacity</t>
  </si>
  <si>
    <t>soil absorption</t>
  </si>
  <si>
    <t>https://w3id.org/eusoilvoc#SoilAbsorption</t>
  </si>
  <si>
    <t>root respiration</t>
  </si>
  <si>
    <t>https://w3id.org/eusoilvoc#RootRespiration</t>
  </si>
  <si>
    <t>soil pore continuity</t>
  </si>
  <si>
    <t>https://w3id.org/eusoilvoc#SoilPoreContinuity</t>
  </si>
  <si>
    <t>soil nutrient availability</t>
  </si>
  <si>
    <t>https://w3id.org/eusoilvoc#SoilNutrientAvailability</t>
  </si>
  <si>
    <t>soil gaseous exchange</t>
  </si>
  <si>
    <t>https://w3id.org/eusoilvoc#SoilGaseousExchange</t>
  </si>
  <si>
    <t>soil air diffusion</t>
  </si>
  <si>
    <t>https://w3id.org/eusoilvoc#SoilAirDiffusion</t>
  </si>
  <si>
    <t>soil biopore</t>
  </si>
  <si>
    <t>https://w3id.org/eusoilvoc#SoilBiopore</t>
  </si>
  <si>
    <t>10.1186/s13071-022-05581-4</t>
  </si>
  <si>
    <t>The pipeline for drugs for control and elimination of neglected tropical diseases: 1. Anti-infective drugs for regulatory registration</t>
  </si>
  <si>
    <t>&lt;jats:title&gt;Abstract&lt;/jats:title&gt;&lt;jats:p&gt;The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t>
  </si>
  <si>
    <t>anti-infective agents</t>
  </si>
  <si>
    <t>tropical disease</t>
  </si>
  <si>
    <t>neglected topical diseases</t>
  </si>
  <si>
    <t>bedaquiline</t>
  </si>
  <si>
    <t>veterinary medicine</t>
  </si>
  <si>
    <t>immunology</t>
  </si>
  <si>
    <t>610</t>
  </si>
  <si>
    <t>drug development</t>
  </si>
  <si>
    <t>infectious and parasitic diseases</t>
  </si>
  <si>
    <t>rc109-216</t>
  </si>
  <si>
    <t>review</t>
  </si>
  <si>
    <t>613</t>
  </si>
  <si>
    <t>fos: health sciences</t>
  </si>
  <si>
    <t>https://w3id.org/eusoilvoc#Phosphorus</t>
  </si>
  <si>
    <t>pharmaceutical technology</t>
  </si>
  <si>
    <t>onchocerciasis</t>
  </si>
  <si>
    <t>moxidectin</t>
  </si>
  <si>
    <t>flubentylosin</t>
  </si>
  <si>
    <t>global impact of helminth infections and control strategies</t>
  </si>
  <si>
    <t>ecological interactions of parasites in ecosystems</t>
  </si>
  <si>
    <t>acoziborole</t>
  </si>
  <si>
    <t>tropical medicine</t>
  </si>
  <si>
    <t>trypanosomiasis</t>
  </si>
  <si>
    <t>health sciences</t>
  </si>
  <si>
    <t>pathology</t>
  </si>
  <si>
    <t>animals</t>
  </si>
  <si>
    <t>disease</t>
  </si>
  <si>
    <t>african trypanosomiasis</t>
  </si>
  <si>
    <t>emodepside</t>
  </si>
  <si>
    <t>biology</t>
  </si>
  <si>
    <t>internal medicine</t>
  </si>
  <si>
    <t>parasitic diseases and treatment strategies</t>
  </si>
  <si>
    <t>neglected tropical diseases</t>
  </si>
  <si>
    <t>immunology and microbiology</t>
  </si>
  <si>
    <t>ivermectin</t>
  </si>
  <si>
    <t>ecology</t>
  </si>
  <si>
    <t>fos: clinical medicine</t>
  </si>
  <si>
    <t>life sciences</t>
  </si>
  <si>
    <t>malaria</t>
  </si>
  <si>
    <t>trypanosomiasis, african</t>
  </si>
  <si>
    <t>infectious diseases</t>
  </si>
  <si>
    <t>fos: biological sciences</t>
  </si>
  <si>
    <t>environmental science</t>
  </si>
  <si>
    <t>physical sciences</t>
  </si>
  <si>
    <t>https://w3id.org/eusoilvoc#Physiography</t>
  </si>
  <si>
    <t>medicine</t>
  </si>
  <si>
    <t>parasitology</t>
  </si>
  <si>
    <t>macrolides</t>
  </si>
  <si>
    <t>3. good health</t>
  </si>
  <si>
    <t>molybdenum</t>
  </si>
  <si>
    <t>https://w3id.org/eusoilvoc#Molybdenum</t>
  </si>
  <si>
    <t>labile solute</t>
  </si>
  <si>
    <t>https://w3id.org/eusoilvoc#LabileSolutes</t>
  </si>
  <si>
    <t>road</t>
  </si>
  <si>
    <t>https://w3id.org/eusoilvoc#Road</t>
  </si>
  <si>
    <t>10.1186/s13570-020-00190-1</t>
  </si>
  <si>
    <t>Understanding ‘culture’ of pastoralism and ‘modern development’ in Thar: Muslim pastoralists of north-west Rajasthan, India</t>
  </si>
  <si>
    <t>&lt;jats:title&gt;Abstract&lt;/jats:title&gt;&lt;jats:p&gt;The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t>
  </si>
  <si>
    <t>1. no poverty</t>
  </si>
  <si>
    <t>0211 other engineering and technologies</t>
  </si>
  <si>
    <t>0507 social and economic geography</t>
  </si>
  <si>
    <t>05 social sciences</t>
  </si>
  <si>
    <t>bikaner</t>
  </si>
  <si>
    <t>ignp canal</t>
  </si>
  <si>
    <t>sufi mysticism</t>
  </si>
  <si>
    <t>02 engineering and technology</t>
  </si>
  <si>
    <t>16. peace &amp; justice</t>
  </si>
  <si>
    <t>pastoral resilience</t>
  </si>
  <si>
    <t>animal culture</t>
  </si>
  <si>
    <t>11. sustainability</t>
  </si>
  <si>
    <t>sf1-1100</t>
  </si>
  <si>
    <t>soil moisture deficit</t>
  </si>
  <si>
    <t>https://w3id.org/eusoilvoc#SoilMoistureDeficit</t>
  </si>
  <si>
    <t>irrigation</t>
  </si>
  <si>
    <t>https://w3id.org/eusoilvoc#Irrigation</t>
  </si>
  <si>
    <t>inundation</t>
  </si>
  <si>
    <t>https://w3id.org/eusoilvoc#Inundation</t>
  </si>
  <si>
    <t>arable land development</t>
  </si>
  <si>
    <t>ecosystem services</t>
  </si>
  <si>
    <t>https://w3id.org/eusoilvoc#EcosystemServices</t>
  </si>
  <si>
    <t>soil desertification</t>
  </si>
  <si>
    <t>https://w3id.org/eusoilvoc#SoilDesertification</t>
  </si>
  <si>
    <t>climatic effects</t>
  </si>
  <si>
    <t>land use class</t>
  </si>
  <si>
    <t>https://w3id.org/eusoilvoc#LandUseClass</t>
  </si>
  <si>
    <t>salinisation</t>
  </si>
  <si>
    <t>https://w3id.org/eusoilvoc#Salinisation</t>
  </si>
  <si>
    <t>10.17221/60/2023-swr</t>
  </si>
  <si>
    <t>Seasonal variations of vegetative indices and their correlation with evapotranspiration and soil water storage in a small agricultural catchment</t>
  </si>
  <si>
    <t>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t>
  </si>
  <si>
    <t>water balance</t>
  </si>
  <si>
    <t>catchment hydrology</t>
  </si>
  <si>
    <t>soil moisture</t>
  </si>
  <si>
    <t>https://w3id.org/eusoilvoc#SoilMoisture</t>
  </si>
  <si>
    <t>remote sensing</t>
  </si>
  <si>
    <t>agriculture</t>
  </si>
  <si>
    <t>s</t>
  </si>
  <si>
    <t>0207 environmental engineering</t>
  </si>
  <si>
    <t>soil water storage</t>
  </si>
  <si>
    <t>https://w3id.org/eusoilvoc#SoilWaterStorage</t>
  </si>
  <si>
    <t>soil water transmission index</t>
  </si>
  <si>
    <t>https://w3id.org/eusoilvoc#SoilWaterTransmissionIndex</t>
  </si>
  <si>
    <t>soil water evapouration</t>
  </si>
  <si>
    <t>https://w3id.org/eusoilvoc#SoilWaterEvapouration</t>
  </si>
  <si>
    <t>soil water retention index</t>
  </si>
  <si>
    <t>https://w3id.org/eusoilvoc#SoilWaterRetentionIndex</t>
  </si>
  <si>
    <t>soil water retention</t>
  </si>
  <si>
    <t>https://w3id.org/eusoilvoc#SoilWaterRetention</t>
  </si>
  <si>
    <t>soil function indicators</t>
  </si>
  <si>
    <t>https://w3id.org/eusoilvoc#SoilFunctionIndicators</t>
  </si>
  <si>
    <t>soil aggregation index</t>
  </si>
  <si>
    <t>https://w3id.org/eusoilvoc#SoilAggregationIndex</t>
  </si>
  <si>
    <t>soil water</t>
  </si>
  <si>
    <t>https://w3id.org/eusoilvoc#SoilWater</t>
  </si>
  <si>
    <t>evapotranspiration</t>
  </si>
  <si>
    <t>https://w3id.org/eusoilvoc#Evapotranspiration</t>
  </si>
  <si>
    <t>season</t>
  </si>
  <si>
    <t>https://w3id.org/eusoilvoc#Season</t>
  </si>
  <si>
    <t>soil water table depth</t>
  </si>
  <si>
    <t>https://w3id.org/eusoilvoc#SoilWaterTableDepth</t>
  </si>
  <si>
    <t>groundwater depth</t>
  </si>
  <si>
    <t>https://w3id.org/eusoilvoc#GroundwaterDepth</t>
  </si>
  <si>
    <t>interflow</t>
  </si>
  <si>
    <t>https://w3id.org/eusoilvoc#Interflow</t>
  </si>
  <si>
    <t>10.20387/bonares-5bqk-c919</t>
  </si>
  <si>
    <t>Soil Compaction, Deformation, and Changes in Soil Physical Parameters Caused by Digestate Application on a Loess-Luvisol in 2019</t>
  </si>
  <si>
    <t>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	Soil pressure and plastic soil deformation 
•	Water retention properties, bulk density, and saturated hydraulic conductivity (Ks) (100 cm³ core samples; 5 replicates per pit and depth (for Ks 5 to 8)). Derived from these were total porosity, air capacity, field capacity, permanent wilting point, and dry bulk density 
•	Biopores were counted in each pit and depth"</t>
  </si>
  <si>
    <t>ploughing depth</t>
  </si>
  <si>
    <t>agrovoc</t>
  </si>
  <si>
    <t>tillage</t>
  </si>
  <si>
    <t>adenstedt</t>
  </si>
  <si>
    <t>other</t>
  </si>
  <si>
    <t>sibbesse</t>
  </si>
  <si>
    <t>lower saxony</t>
  </si>
  <si>
    <t>germany</t>
  </si>
  <si>
    <t>boden</t>
  </si>
  <si>
    <t>gemet</t>
  </si>
  <si>
    <t>reduced tillage</t>
  </si>
  <si>
    <t>opendata</t>
  </si>
  <si>
    <t>hildesheim</t>
  </si>
  <si>
    <t>subsoil</t>
  </si>
  <si>
    <t>https://w3id.org/eusoilvoc#SoilSubsidence</t>
  </si>
  <si>
    <t>soil chemicophysical properties</t>
  </si>
  <si>
    <t>soil mechanical properties</t>
  </si>
  <si>
    <t>soil depth sampled</t>
  </si>
  <si>
    <t>https://w3id.org/eusoilvoc#SoilDepthSampled</t>
  </si>
  <si>
    <t>soil compaction</t>
  </si>
  <si>
    <t>https://w3id.org/eusoilvoc#SoilCompaction</t>
  </si>
  <si>
    <t>soil depth</t>
  </si>
  <si>
    <t>https://w3id.org/eusoilvoc#SoilDepth</t>
  </si>
  <si>
    <t>soil process</t>
  </si>
  <si>
    <t>soil type</t>
  </si>
  <si>
    <t>soil compactability</t>
  </si>
  <si>
    <t>https://w3id.org/eusoilvoc#SoilCompactability</t>
  </si>
  <si>
    <t>total porosity</t>
  </si>
  <si>
    <t>https://w3id.org/eusoilvoc#TotalPorosity</t>
  </si>
  <si>
    <t>soil formation</t>
  </si>
  <si>
    <t>https://w3id.org/eusoilvoc#SoilFormation</t>
  </si>
  <si>
    <t>soil physical process</t>
  </si>
  <si>
    <t>soil movement</t>
  </si>
  <si>
    <t>https://w3id.org/eusoilvoc#SoilMovement</t>
  </si>
  <si>
    <t>soil phenomenon</t>
  </si>
  <si>
    <t>https://w3id.org/eusoilvoc#SoilPhenomena</t>
  </si>
  <si>
    <t>soil density</t>
  </si>
  <si>
    <t>https://w3id.org/eusoilvoc#SoilDensity</t>
  </si>
  <si>
    <t>soil crust density</t>
  </si>
  <si>
    <t>https://w3id.org/eusoilvoc#SoilCrustDensity</t>
  </si>
  <si>
    <t>soil deformation</t>
  </si>
  <si>
    <t>https://w3id.org/eusoilvoc#SoilDeformation</t>
  </si>
  <si>
    <t>hydraulic conductivity</t>
  </si>
  <si>
    <t>https://w3id.org/eusoilvoc#SoilHydraulicConductivity</t>
  </si>
  <si>
    <t>saturated hydraulic conductivity</t>
  </si>
  <si>
    <t>https://w3id.org/eusoilvoc#SaturatedHydraulicConductivity</t>
  </si>
  <si>
    <t>permanent wilting point</t>
  </si>
  <si>
    <t>https://w3id.org/eusoilvoc#PermanentWiltingPoint</t>
  </si>
  <si>
    <t>bulk density (soil)</t>
  </si>
  <si>
    <t>10.3030/101112951</t>
  </si>
  <si>
    <t>Building momentum and trust to achieve credible soil carbon farming in the EU</t>
  </si>
  <si>
    <t>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t>
  </si>
  <si>
    <t>soil organic matter content</t>
  </si>
  <si>
    <t>https://w3id.org/eusoilvoc#SoilOrganicMatterContents</t>
  </si>
  <si>
    <t>10.3030/635201</t>
  </si>
  <si>
    <t>LAND Management: Assessment, Research, Knowledge base</t>
  </si>
  <si>
    <t>LANDMARK is a pan-European multi-actor consortium of leading academic and applied research institutes, chambers of agriculture and policy makers that will develop a coherent framework for soil management aimed at sustainable food production across Europe.
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
LANDMARK will uniquely respond to the breadth of this challenge by delivering (through multi-actor development):
1. LOCAL SCALE: A toolkit for farmers with cost-effective, practical measures for sustainable (and context specific) soil management.
2. REGIONAL SCALE - A blueprint for a soil monitoring scheme, using harmonised indicators: this will facilitate the assessment of soil functions for different soil types and land-uses for all major EU climatic zones.
3. EU SCALE – An assessment of EU policy instruments for incentivising sustainable land management.
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t>
  </si>
  <si>
    <t>soil agricultural functions</t>
  </si>
  <si>
    <t>soil engineering functions</t>
  </si>
  <si>
    <t>https://w3id.org/eusoilvoc#SoilEngineeringFunctions</t>
  </si>
  <si>
    <t>soil physical functions</t>
  </si>
  <si>
    <t>https://w3id.org/eusoilvoc#SoilPhysicalFunctions</t>
  </si>
  <si>
    <t>land development (agriculture)</t>
  </si>
  <si>
    <t>soil classification</t>
  </si>
  <si>
    <t>https://w3id.org/eusoilvoc#SoilClassification</t>
  </si>
  <si>
    <t>major land form</t>
  </si>
  <si>
    <t>https://w3id.org/eusoilvoc#MajorLandForms</t>
  </si>
  <si>
    <t>soil solution</t>
  </si>
  <si>
    <t>https://w3id.org/eusoilvoc#SoilSolution</t>
  </si>
  <si>
    <t>soil property</t>
  </si>
  <si>
    <t>habitat</t>
  </si>
  <si>
    <t>https://w3id.org/eusoilvoc#Habitats</t>
  </si>
  <si>
    <t>food production</t>
  </si>
  <si>
    <t>https://w3id.org/eusoilvoc#FoodProduction</t>
  </si>
  <si>
    <t>10.3389/fenvs.2019.00058</t>
  </si>
  <si>
    <t>Development of an Agricultural Primary Productivity Decision Support Model: A Case Study in France</t>
  </si>
  <si>
    <t>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t>
  </si>
  <si>
    <t>data mining</t>
  </si>
  <si>
    <t>006</t>
  </si>
  <si>
    <t>agricultural decision-making</t>
  </si>
  <si>
    <t>[shs.eco]humanities and social sciences/economics and finance</t>
  </si>
  <si>
    <t>yield</t>
  </si>
  <si>
    <t>expert knowledge</t>
  </si>
  <si>
    <t>decision support model</t>
  </si>
  <si>
    <t>ge1-350</t>
  </si>
  <si>
    <t>[shs.eco] humanities and social sciences/economics and finance</t>
  </si>
  <si>
    <t>soil description</t>
  </si>
  <si>
    <t>https://w3id.org/eusoilvoc#SoilDescription</t>
  </si>
  <si>
    <t>soil environmental function</t>
  </si>
  <si>
    <t>soil nutrient</t>
  </si>
  <si>
    <t>https://w3id.org/eusoilvoc#SoilNutrients</t>
  </si>
  <si>
    <t>soil quality</t>
  </si>
  <si>
    <t>soil function</t>
  </si>
  <si>
    <t>input</t>
  </si>
  <si>
    <t>biomass productivity</t>
  </si>
  <si>
    <t>https://w3id.org/eusoilvoc#BiomassProductivity</t>
  </si>
  <si>
    <t>10.5194/egusphere-2024-348</t>
  </si>
  <si>
    <t>When and why microbial-explicit soil organic carbon models can be unstable</t>
  </si>
  <si>
    <t>&lt;jats:p&gt;Abstract.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t>
  </si>
  <si>
    <t>qe1-996.5</t>
  </si>
  <si>
    <t>life</t>
  </si>
  <si>
    <t>qh501-531</t>
  </si>
  <si>
    <t>geology</t>
  </si>
  <si>
    <t>https://w3id.org/eusoilvoc#Geology</t>
  </si>
  <si>
    <t>qh540-549.5</t>
  </si>
  <si>
    <t>soil microbial activity</t>
  </si>
  <si>
    <t>https://w3id.org/eusoilvoc#SoilMicrobialActivity</t>
  </si>
  <si>
    <t>soil microbial biomass</t>
  </si>
  <si>
    <t>https://w3id.org/eusoilvoc#SoilMicrobialBiomass</t>
  </si>
  <si>
    <t>soil microorganisms</t>
  </si>
  <si>
    <t>https://w3id.org/eusoilvoc#SoilMicrofauna</t>
  </si>
  <si>
    <t>nutrient dynamics</t>
  </si>
  <si>
    <t>https://w3id.org/eusoilvoc#NutrientDynamics</t>
  </si>
  <si>
    <t>10.5194/soil-11-1053-2025</t>
  </si>
  <si>
    <t>The potential of reed canary grass and the importance  of field heterogeneity for reducing GHG emissions  in a rewetting fen peatland</t>
  </si>
  <si>
    <t>&lt;jats:p&gt;Abstract.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t>
  </si>
  <si>
    <t>soil pore heterogeneity</t>
  </si>
  <si>
    <t>https://w3id.org/eusoilvoc#SoilPoreHeterogeneity</t>
  </si>
  <si>
    <t>nitrogen total</t>
  </si>
  <si>
    <t>https://w3id.org/eusoilvoc#NitrogenTotal</t>
  </si>
  <si>
    <t>grass</t>
  </si>
  <si>
    <t>soil temperature</t>
  </si>
  <si>
    <t>https://w3id.org/eusoilvoc#SoilTemperature</t>
  </si>
  <si>
    <t>flood</t>
  </si>
  <si>
    <t>https://w3id.org/eusoilvoc#Floods</t>
  </si>
  <si>
    <t>peat</t>
  </si>
  <si>
    <t>https://w3id.org/eusoilvoc#Peat</t>
  </si>
  <si>
    <t>soil respiration</t>
  </si>
  <si>
    <t>https://w3id.org/eusoilvoc#SoilRespiration</t>
  </si>
  <si>
    <t>10.5281/zenodo.10883909</t>
  </si>
  <si>
    <t>Landsat-based Spectral Indices for pan-EU 2000-2022  - Annual predictor P25 (2006): Reflectances bands, NDVI and NDWI</t>
  </si>
  <si>
    <t>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t>
  </si>
  <si>
    <t>plant cover</t>
  </si>
  <si>
    <t>https://w3id.org/eusoilvoc#PlantCover</t>
  </si>
  <si>
    <t>10.5281/zenodo.11190062</t>
  </si>
  <si>
    <t>Assessing Apical Toxicity and Sublethal Responses of Earthworms in PFAS-Contaminated Soils: A Comprehensive Study at a Fire Training Site in Sweden</t>
  </si>
  <si>
    <t>Poster presentation at SETEC 2024</t>
  </si>
  <si>
    <t>soil contaminant</t>
  </si>
  <si>
    <t>https://w3id.org/eusoilvoc#SoilContaminants</t>
  </si>
  <si>
    <t>earth worms</t>
  </si>
  <si>
    <t>https://w3id.org/eusoilvoc#Earthworms</t>
  </si>
  <si>
    <t>earthworms</t>
  </si>
  <si>
    <t>soil contaminants</t>
  </si>
  <si>
    <t>soil macrofauna</t>
  </si>
  <si>
    <t>https://w3id.org/eusoilvoc#SoilMacrofauna</t>
  </si>
  <si>
    <t>soil fauna</t>
  </si>
  <si>
    <t>https://w3id.org/eusoilvoc#SoilFauna</t>
  </si>
  <si>
    <t>soil biological functions</t>
  </si>
  <si>
    <t>soil organisms</t>
  </si>
  <si>
    <t>https://w3id.org/eusoilvoc#SoilOrganisms</t>
  </si>
  <si>
    <t>10.5281/zenodo.12583774</t>
  </si>
  <si>
    <t>Soilcare data agricultural soil quality improvement</t>
  </si>
  <si>
    <t>Dataset that contains survey data on Spanish and UK respondents on agricultural soil quality protection and improvement</t>
  </si>
  <si>
    <t>soil degradation</t>
  </si>
  <si>
    <t>https://w3id.org/eusoilvoc#SoilDegradation</t>
  </si>
  <si>
    <t>10.5281/zenodo.14184825</t>
  </si>
  <si>
    <t>The EJP SOIL ProbeField Session of seven presentations at the GPSS workshop in Gent October 2024</t>
  </si>
  <si>
    <t>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t>
  </si>
  <si>
    <t>probefield</t>
  </si>
  <si>
    <t>ejp soil</t>
  </si>
  <si>
    <t>soil sciences</t>
  </si>
  <si>
    <t>proximal soil sensing</t>
  </si>
  <si>
    <t>10.5281/zenodo.15083810</t>
  </si>
  <si>
    <t>A review of existing soil monitoring systems</t>
  </si>
  <si>
    <t>This study addresses main questions when developing a soil monitoring programme and underlines possible ways to harmonize national programmes with EU Soil Observatory</t>
  </si>
  <si>
    <t>soil erosion</t>
  </si>
  <si>
    <t>https://w3id.org/eusoilvoc#SoilErosion</t>
  </si>
  <si>
    <t>soil biodiversity loss</t>
  </si>
  <si>
    <t>https://w3id.org/eusoilvoc#SoilBiodiversityLoss</t>
  </si>
  <si>
    <t>10.5281/zenodo.19336397</t>
  </si>
  <si>
    <t>Global Dataset of cumulative post fire soil erosion estimates (2001–2019)</t>
  </si>
  <si>
    <t>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t>
  </si>
  <si>
    <t>post-fires</t>
  </si>
  <si>
    <t>soil N loss</t>
  </si>
  <si>
    <t>soil erosion activity period</t>
  </si>
  <si>
    <t>https://w3id.org/eusoilvoc#SoilErosionActivityPeriod</t>
  </si>
  <si>
    <t>soil erosion area affected</t>
  </si>
  <si>
    <t>https://w3id.org/eusoilvoc#SoilErosionAreaAffected</t>
  </si>
  <si>
    <t>soil P loss</t>
  </si>
  <si>
    <t>https://w3id.org/eusoilvoc#SoilPLoss</t>
  </si>
  <si>
    <t>soil ecological degradation</t>
  </si>
  <si>
    <t>https://w3id.org/eusoilvoc#SoilEcologicalDegradation</t>
  </si>
  <si>
    <t>soil erosion category</t>
  </si>
  <si>
    <t>https://w3id.org/eusoilvoc#SoilErosionCategory</t>
  </si>
  <si>
    <t>soil erosion total area affected</t>
  </si>
  <si>
    <t>https://w3id.org/eusoilvoc#SoilErosionTotalAreaAffected</t>
  </si>
  <si>
    <t>erosion</t>
  </si>
  <si>
    <t>surface runoff</t>
  </si>
  <si>
    <t>https://w3id.org/eusoilvoc#SurfaceRunoff</t>
  </si>
  <si>
    <t>https://w3id.org/eusoilvoc#Runoff</t>
  </si>
  <si>
    <t>runoff</t>
  </si>
  <si>
    <t>soil erodibility</t>
  </si>
  <si>
    <t>https://w3id.org/eusoilvoc#SoilErodibility</t>
  </si>
  <si>
    <t>slope gradient</t>
  </si>
  <si>
    <t>https://w3id.org/eusoilvoc#SlopeGradient</t>
  </si>
  <si>
    <t>precipitation</t>
  </si>
  <si>
    <t>https://w3id.org/eusoilvoc#Precipitation</t>
  </si>
  <si>
    <t>10.5281/zenodo.3465229</t>
  </si>
  <si>
    <t>3D geological model reconstruction for liquefaction hazard assessment in the Po Plain</t>
  </si>
  <si>
    <t>Proceedings of the VII ICEGE 7th International Conference on Earthquake Geotechnical Engineering, Rome, Italy, 17-20 June 2019.</t>
  </si>
  <si>
    <t>3d geological model, liquefaction hazard, earthquake, po plain.</t>
  </si>
  <si>
    <t>lithology</t>
  </si>
  <si>
    <t>https://w3id.org/eusoilvoc#Lithology</t>
  </si>
  <si>
    <t>soil shear strength</t>
  </si>
  <si>
    <t>https://w3id.org/eusoilvoc#SoilShearStrength</t>
  </si>
  <si>
    <t>void ratio</t>
  </si>
  <si>
    <t>https://w3id.org/eusoilvoc#VoidRatio</t>
  </si>
  <si>
    <t>soil porosity</t>
  </si>
  <si>
    <t>https://w3id.org/eusoilvoc#SoilPorosity</t>
  </si>
  <si>
    <t>soil compressibility</t>
  </si>
  <si>
    <t>https://w3id.org/eusoilvoc#SoilCompressibility</t>
  </si>
  <si>
    <t>soil settlement</t>
  </si>
  <si>
    <t>https://w3id.org/eusoilvoc#SoilSettlement</t>
  </si>
  <si>
    <t>10.5281/zenodo.7705060</t>
  </si>
  <si>
    <t>Dataset: Strauss et al. 2023 Sustainable soil management measures: a synthesis of stakeholder recommendations</t>
  </si>
  <si>
    <t>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t>
  </si>
  <si>
    <t>soil threats</t>
  </si>
  <si>
    <t>https://w3id.org/eusoilvoc#SoilThreats</t>
  </si>
  <si>
    <t>4a244ff3-bd55-4d99-9943-26e799cf56cb</t>
  </si>
  <si>
    <t>SoilGrids250m 2.0 - Soil pH in H2O aggregated 5000m</t>
  </si>
  <si>
    <t>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t>
  </si>
  <si>
    <t>soil aggregate degree</t>
  </si>
  <si>
    <t>https://w3id.org/eusoilvoc#SoilAggregateDegree</t>
  </si>
  <si>
    <t>soil relative density</t>
  </si>
  <si>
    <t>https://w3id.org/eusoilvoc#SoilRelativeDensity</t>
  </si>
  <si>
    <t>soil true density</t>
  </si>
  <si>
    <t>https://w3id.org/eusoilvoc#SoilTrueDensity</t>
  </si>
  <si>
    <t>soil chemical property</t>
  </si>
  <si>
    <t>57c27a06-cf9d-4e12-bb31-3ff1b57a3ffe</t>
  </si>
  <si>
    <t>Regional till geochemistry</t>
  </si>
  <si>
    <t>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t>
  </si>
  <si>
    <t>mineral concentration</t>
  </si>
  <si>
    <t>https://w3id.org/eusoilvoc#MineralConcentration</t>
  </si>
  <si>
    <t>trace elements</t>
  </si>
  <si>
    <t>parent material</t>
  </si>
  <si>
    <t>https://w3id.org/eusoilvoc#ParentMaterial</t>
  </si>
  <si>
    <t>mineral content</t>
  </si>
  <si>
    <t>https://w3id.org/eusoilvoc#MineralContents</t>
  </si>
  <si>
    <t>soil chemical function</t>
  </si>
  <si>
    <t>copernicus_hrl-small-landscape-features_s,DAT-237-en</t>
  </si>
  <si>
    <t>HRL Small Landscape Features</t>
  </si>
  <si>
    <t>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High Resolution Layer Small Landscape Features is part of the European Union’s Copernicus Land Monitoring Service.</t>
  </si>
  <si>
    <t>eea39</t>
  </si>
  <si>
    <t>place</t>
  </si>
  <si>
    <t>european</t>
  </si>
  <si>
    <t>landscape</t>
  </si>
  <si>
    <t>land</t>
  </si>
  <si>
    <t>built environment</t>
  </si>
  <si>
    <t>soil surface sealing</t>
  </si>
  <si>
    <t>https://w3id.org/eusoilvoc#SoilSurfaceSealing</t>
  </si>
  <si>
    <t>urban area</t>
  </si>
  <si>
    <t>sealing</t>
  </si>
  <si>
    <t>https://w3id.org/eusoilvoc#SoilSealing</t>
  </si>
  <si>
    <t>landscape alteration</t>
  </si>
  <si>
    <t>eea</t>
  </si>
  <si>
    <t>agriculture and food</t>
  </si>
  <si>
    <t>biodiversity</t>
  </si>
  <si>
    <t>2020 3.6.7</t>
  </si>
  <si>
    <t>eea38 (from 2020)</t>
  </si>
  <si>
    <t>united kingdom</t>
  </si>
  <si>
    <t>vegetation types</t>
  </si>
  <si>
    <t>land use shrubs</t>
  </si>
  <si>
    <t>https://w3id.org/eusoilvoc#LandUseShrubs</t>
  </si>
  <si>
    <t>trees</t>
  </si>
  <si>
    <t>tree density</t>
  </si>
  <si>
    <t>https://w3id.org/eusoilvoc#TreeDensity</t>
  </si>
  <si>
    <t>d4608f62-da32-4ee6-b432-386c01871ee1</t>
  </si>
  <si>
    <t>Bodemfunctiekaart Zeeland</t>
  </si>
  <si>
    <t>De Bodemkwaliteitskaart (bkk) is een gemeentelijke kaart, die de algemene chemische bodemkwaliteit van een gebied beschrijft. De kaart bestaat uit drie kaartlagen: de functiekaart, bodemkwaliteitskaart en de toepassingskaart. 
Elke gemeente heeft een Nota Bodembeheer, waar de kaart bestuurlijk in is vastgesteld en verankerd. Per gemeente zijn dan ook nuance verschillen in kaart mogelijk. Deze kaart is samengesteld uit alle beschikbare bkk's van de Zeeuwse gemeenten.
De bodemkwaliteitskaart wordt primair gebruikt om grondverzet op een efficiënte, kosteneffectieve en milieu hygiënisch verantwoorde manier mogelijk maken.</t>
  </si>
  <si>
    <t>nl</t>
  </si>
  <si>
    <t>soil function indicator</t>
  </si>
  <si>
    <t>soil physical quality</t>
  </si>
  <si>
    <t>https://w3id.org/eusoilvoc#SoilPhysicalQuality</t>
  </si>
  <si>
    <t>eea_r_3035_100_m_imd-2009-acc_p_2008-2010_v01_r03</t>
  </si>
  <si>
    <t>High Resolution Layer: Imperviousness Density 2009 (raster 100m) accounting layer, Jan. 2019</t>
  </si>
  <si>
    <t>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t>
  </si>
  <si>
    <t>soil erodibility index</t>
  </si>
  <si>
    <t>https://w3id.org/eusoilvoc#SoilErodibilityIndex</t>
  </si>
  <si>
    <t>soil intrinsic permeability</t>
  </si>
  <si>
    <t>https://w3id.org/eusoilvoc#SoilIntrinsicPermeability</t>
  </si>
  <si>
    <t>soil sealing</t>
  </si>
  <si>
    <t>http://data.europa.eu/88u/dataset/f6370904-e1ac-49be-b874-e400170d3769</t>
  </si>
  <si>
    <t>Servicio WMS (Web Map Service)Inventario Nacional de Erosión de Suelos (2002-2019). Erosión en cauces</t>
  </si>
  <si>
    <t>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
				La URL del Servicio WMS Erosión en cauces es: https://wms.mapama.gob.es/sig/Biodiversidad/INESErosionCauces
				Los sistemas de referencia que ofrece este servicio son: 
				- Para coordenadas geográficas: CRS: 84, EPSG:4230 (ED50), EPSG:4326 (WGS 84), EPSG:4258 (ETRS 89). 
				-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t>
  </si>
  <si>
    <t>es</t>
  </si>
  <si>
    <t>españa</t>
  </si>
  <si>
    <t>nacional</t>
  </si>
  <si>
    <t>1.3.0</t>
  </si>
  <si>
    <t>wms</t>
  </si>
  <si>
    <t>https://w3id.org/eusoilvoc#moistureContentProcedure-VMC_ud</t>
  </si>
  <si>
    <t>ogc</t>
  </si>
  <si>
    <t>infomanagementservice</t>
  </si>
  <si>
    <t>servicio de gestión de modelos/información geográficos</t>
  </si>
  <si>
    <t>servicio de acceso a mapas</t>
  </si>
  <si>
    <t>infomapaccessservice</t>
  </si>
  <si>
    <t>idee</t>
  </si>
  <si>
    <t>none</t>
  </si>
  <si>
    <t>cartografía</t>
  </si>
  <si>
    <t>mapama</t>
  </si>
  <si>
    <t>view</t>
  </si>
  <si>
    <t>suelo</t>
  </si>
  <si>
    <t>erosión</t>
  </si>
  <si>
    <t>soil erosion degree</t>
  </si>
  <si>
    <t>https://w3id.org/eusoilvoc#SoilErosionDegree</t>
  </si>
  <si>
    <t>soil water characteristic</t>
  </si>
  <si>
    <t>https://w3id.org/eusoilvoc#SoilWaterCharacteristics</t>
  </si>
  <si>
    <t>slope</t>
  </si>
  <si>
    <t>https://data.isric.org/geonetwork/srv/fre/catalog.search#/metadata/a36f7919-0d6e-4044-902c-64a74feade6b</t>
  </si>
  <si>
    <t>Africa SoilGrids nutrients - Extractable Aluminium (Al)</t>
  </si>
  <si>
    <t>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t>
  </si>
  <si>
    <t>soil nutrient content</t>
  </si>
  <si>
    <t>soil nutrients</t>
  </si>
  <si>
    <t>cations sum</t>
  </si>
  <si>
    <t>https://w3id.org/eusoilvoc#CationSum</t>
  </si>
  <si>
    <t>aluminium</t>
  </si>
  <si>
    <t>https://w3id.org/eusoilvoc#Aluminium</t>
  </si>
  <si>
    <t>aluminium extractable element</t>
  </si>
  <si>
    <t>https://w3id.org/eusoilvoc#AluminiumExtractableElements</t>
  </si>
  <si>
    <t>soil spatial properties</t>
  </si>
  <si>
    <t>https://w3id.org/eusoilvoc#SoilSpatialProperties</t>
  </si>
  <si>
    <t>https://doi.org/10.1007/s11104-011-0870-3</t>
  </si>
  <si>
    <t>Biochar Adsorbed Ammonia Is Bioavailable</t>
  </si>
  <si>
    <t>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t>
  </si>
  <si>
    <t>biological nitrogen fixation</t>
  </si>
  <si>
    <t>https://w3id.org/eusoilvoc#BiologicalNitrogenFixation</t>
  </si>
  <si>
    <t>plant nutrient uptake</t>
  </si>
  <si>
    <t>https://w3id.org/eusoilvoc#PlantNutrientUptake</t>
  </si>
  <si>
    <t>soil acidity</t>
  </si>
  <si>
    <t>air quality</t>
  </si>
  <si>
    <t>https://w3id.org/eusoilvoc#AirQuality</t>
  </si>
  <si>
    <t>soil nutrient retention</t>
  </si>
  <si>
    <t>https://w3id.org/eusoilvoc#SoilNutrientRetention</t>
  </si>
  <si>
    <t>https://doi.org/10.1016/j.agee.2015.10.021</t>
  </si>
  <si>
    <t>Grazing Intensity And Micro-Topographical Effects On Some Nitrogen And Carbon Pools And Fluxes In Sheep-Grazed Hill Country In New Zealand</t>
  </si>
  <si>
    <t>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t>
  </si>
  <si>
    <t>soil volume</t>
  </si>
  <si>
    <t>https://w3id.org/eusoilvoc#SoilVolume</t>
  </si>
  <si>
    <t>slope pathways</t>
  </si>
  <si>
    <t>https://w3id.org/eusoilvoc#SlopePathways</t>
  </si>
  <si>
    <t>phosphorus</t>
  </si>
  <si>
    <t>soil leaching</t>
  </si>
  <si>
    <t>https://w3id.org/eusoilvoc#SoilLeaching</t>
  </si>
  <si>
    <t>https://doi.org/10.1016/j.soilbio.2010.02.011</t>
  </si>
  <si>
    <t>Effects Of Warming And Grazing On N2o Fluxes In An Alpine Meadow Ecosystem On The Tibetan Plateau</t>
  </si>
  <si>
    <t>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t>
  </si>
  <si>
    <t>soil warming</t>
  </si>
  <si>
    <t>https://w3id.org/eusoilvoc#SoilWarming</t>
  </si>
  <si>
    <t>soil heat capacity</t>
  </si>
  <si>
    <t>https://w3id.org/eusoilvoc#SoilHeatCapacity</t>
  </si>
  <si>
    <t>soil heat convection</t>
  </si>
  <si>
    <t>https://w3id.org/eusoilvoc#SoilHeatConvection</t>
  </si>
  <si>
    <t>soil heat movement</t>
  </si>
  <si>
    <t>https://w3id.org/eusoilvoc#SoilHeatMovement</t>
  </si>
  <si>
    <t>https://doi.org/10.1016/j.soilbio.2012.10.033</t>
  </si>
  <si>
    <t>Microbial Biomass Growth, Following Incorporation Of Biochars Produced At 350 Degrees C Or 700 Degrees C, In A Silty-Clay Loam Soil Of High And Low Ph</t>
  </si>
  <si>
    <t>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t>
  </si>
  <si>
    <t>soil microbiota</t>
  </si>
  <si>
    <t>soil microbiotic crusts</t>
  </si>
  <si>
    <t>https://w3id.org/eusoilvoc#SoilMicrobioticCrusts</t>
  </si>
  <si>
    <t>soil microbial respiration</t>
  </si>
  <si>
    <t>https://w3id.org/eusoilvoc#SoilMicrobialRespiration</t>
  </si>
  <si>
    <t>clay</t>
  </si>
  <si>
    <t>https://w3id.org/eusoilvoc#Clay</t>
  </si>
  <si>
    <t>soil mineralization</t>
  </si>
  <si>
    <t>https://w3id.org/eusoilvoc#SoilMineralization</t>
  </si>
  <si>
    <t>https://doi.org/10.1046/j.1469-8137.1997.00682.x</t>
  </si>
  <si>
    <t>Effects Of Elevated Atmospheric Co2 And Soil Water Availability On Root Biomass, Root Length, And N, P And K Uptake By Wheat</t>
  </si>
  <si>
    <t>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t>
  </si>
  <si>
    <t>plant available water capacity</t>
  </si>
  <si>
    <t>https://w3id.org/eusoilvoc#PlantAvailableWaterCapacity</t>
  </si>
  <si>
    <t>plant water uptake</t>
  </si>
  <si>
    <t>https://w3id.org/eusoilvoc#PlantWaterUptake</t>
  </si>
  <si>
    <t>normal water loss (of plants)</t>
  </si>
  <si>
    <t>https://w3id.org/eusoilvoc#Transpiration</t>
  </si>
  <si>
    <t>plant available water content</t>
  </si>
  <si>
    <t>https://w3id.org/eusoilvoc#PlantAvailableWaterContents</t>
  </si>
  <si>
    <t>phosphorus retention</t>
  </si>
  <si>
    <t>https://w3id.org/eusoilvoc#PhosphorusRetention</t>
  </si>
  <si>
    <t>soil fluid movement</t>
  </si>
  <si>
    <t>https://w3id.org/eusoilvoc#SoilFluidMovement</t>
  </si>
  <si>
    <t>soil phosphorus loss</t>
  </si>
  <si>
    <t>soil moisture movement</t>
  </si>
  <si>
    <t>https://w3id.org/eusoilvoc#SoilMoistureMovement</t>
  </si>
  <si>
    <t>soil volume change</t>
  </si>
  <si>
    <t>https://w3id.org/eusoilvoc#SoilVolumeChange</t>
  </si>
  <si>
    <t>soil water movement</t>
  </si>
  <si>
    <t>antecedent soil moisture content</t>
  </si>
  <si>
    <t>https://w3id.org/eusoilvoc#AntecedentSoilMoistureContents</t>
  </si>
  <si>
    <t>soil water availability</t>
  </si>
  <si>
    <t>https://w3id.org/eusoilvoc#SoilWaterAvailability</t>
  </si>
  <si>
    <t>soil moisture contents</t>
  </si>
  <si>
    <t>https://w3id.org/eusoilvoc#SoilMoistureContents</t>
  </si>
  <si>
    <t>potassium</t>
  </si>
  <si>
    <t>https://w3id.org/eusoilvoc#Potassium</t>
  </si>
  <si>
    <t>soil moisture content</t>
  </si>
  <si>
    <t>https://doi.org/10.1111/1365-2435.12329</t>
  </si>
  <si>
    <t>Interactive Effects Of C, N And P Fertilization On Soil Microbial Community Structure And Function In An Amazonian Rain Forest</t>
  </si>
  <si>
    <t>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t>
  </si>
  <si>
    <t>soil microbiotic crust</t>
  </si>
  <si>
    <t>critical soil organic matter contents</t>
  </si>
  <si>
    <t>https://w3id.org/eusoilvoc#CriticalSoilOrganicMatterContents</t>
  </si>
  <si>
    <t>rain</t>
  </si>
  <si>
    <t>https://w3id.org/eusoilvoc#Rain</t>
  </si>
  <si>
    <t>https://doi.org/10.1111/gcbb.12356</t>
  </si>
  <si>
    <t>Dynamic Responses Of Nitrous Oxide Emission And Nitrogen Use Efficiency To Nitrogen And Biochar Amendment In An Intensified Vegetable Field In Southeastern China</t>
  </si>
  <si>
    <t>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t>
  </si>
  <si>
    <t>https://doi.org/10.1111/j.1469-8137.2004.00977.x</t>
  </si>
  <si>
    <t>Response Of An Understory Plant Community To Elevated [Co2] Depends On Differential Responses Of Dominant Invasive Species And Is Mediated By Soil Water Availability</t>
  </si>
  <si>
    <t>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t>
  </si>
  <si>
    <t>14. life underwater</t>
  </si>
  <si>
    <t>microstegium vimineum</t>
  </si>
  <si>
    <t>understory communities</t>
  </si>
  <si>
    <t>invasive species</t>
  </si>
  <si>
    <t>lonicera japonica</t>
  </si>
  <si>
    <t>co2 enrichment</t>
  </si>
  <si>
    <t>environmental factors</t>
  </si>
  <si>
    <t>https://doi.org/10.2136/sssaj1997.03615995006100030038x</t>
  </si>
  <si>
    <t>Automated Chamber Measurements Of Methane And Nitrous Oxide Flux In A Flooded Rice Soil .1. Residue, Nitrogen, And Water Management</t>
  </si>
  <si>
    <t>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t>
  </si>
  <si>
    <t>soil organic matter contents</t>
  </si>
  <si>
    <t>soil organic matter class</t>
  </si>
  <si>
    <t>https://w3id.org/eusoilvoc#SoilOrganicMatterClass</t>
  </si>
  <si>
    <t>soil oxygen concentration</t>
  </si>
  <si>
    <t>https://w3id.org/eusoilvoc#SoilOxygenConcentration</t>
  </si>
  <si>
    <t>soil methanogenesis</t>
  </si>
  <si>
    <t>https://w3id.org/eusoilvoc#SoilMethanogenesis</t>
  </si>
  <si>
    <t>soil denitrification</t>
  </si>
  <si>
    <t>https://w3id.org/eusoilvoc#SoilDenitrification</t>
  </si>
  <si>
    <t>flooding</t>
  </si>
  <si>
    <t>controlled drainage</t>
  </si>
  <si>
    <t>https://w3id.org/eusoilvoc#ControlledDrainage</t>
  </si>
  <si>
    <t>https://doi.org/10.2136/sssaj2003.1620</t>
  </si>
  <si>
    <t>Interpretation Of Soil Carbon And Nitrogen Dynamics In Agricultural And Afforested Soils</t>
  </si>
  <si>
    <t>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t>
  </si>
  <si>
    <t>soil age</t>
  </si>
  <si>
    <t>https://w3id.org/eusoilvoc#SoilAge</t>
  </si>
  <si>
    <t>soil structural decline</t>
  </si>
  <si>
    <t>https://w3id.org/eusoilvoc#SoilStructuralDecline</t>
  </si>
  <si>
    <t>soil filtering capacity</t>
  </si>
  <si>
    <t>https://w3id.org/eusoilvoc#SoilFilteringCapacity</t>
  </si>
  <si>
    <t>calcium</t>
  </si>
  <si>
    <t>https://w3id.org/eusoilvoc#Calcium</t>
  </si>
  <si>
    <t>magnesium</t>
  </si>
  <si>
    <t>https://w3id.org/eusoilvoc#Magnesium</t>
  </si>
  <si>
    <t>land use forest</t>
  </si>
  <si>
    <t>https://w3id.org/eusoilvoc#LandUseForests</t>
  </si>
  <si>
    <t>https://doi.org/10.34725/DVN/66BFOB</t>
  </si>
  <si>
    <t>Wet chemistry data for a subset of AfSIS: Phase I archived soil samples</t>
  </si>
  <si>
    <t>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"BBS/OS/GC/000014B: Chemical and Biological Assessment of AfSIS soils"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"Mid-Infrared Spectra (MIRS) from ICRAF Soil and Plant Spectroscopy Laboratory: Africa Soil Information Service (AfSIS) Phase I 2009-2013", https://doi.org/10.34725/DVN/QXCWP1, World Agroforestry - Research Data Repository, V1.</t>
  </si>
  <si>
    <t>soil contents</t>
  </si>
  <si>
    <t>https://w3id.org/eusoilvoc#SoilContents</t>
  </si>
  <si>
    <t>soil wetness</t>
  </si>
  <si>
    <t>https://w3id.org/eusoilvoc#SoilWetness</t>
  </si>
  <si>
    <t>https://doi.org/10.5061/dryad.9kd51c5n4</t>
  </si>
  <si>
    <t>Species of fast bulk-soil nutrient cycling have lower rhizosphere effects: A nutrient spectrum of rhizosphere effects</t>
  </si>
  <si>
    <t>&lt;p&gt;Tree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t>
  </si>
  <si>
    <t>critical soil organic matter content</t>
  </si>
  <si>
    <t>soil nutrient loss</t>
  </si>
  <si>
    <t>https://w3id.org/eusoilvoc#SoilNutrientLoss</t>
  </si>
  <si>
    <t>soil nutrient holding capacity</t>
  </si>
  <si>
    <t>https://w3id.org/eusoilvoc#SoilNutrientHoldingCapacity</t>
  </si>
  <si>
    <t>soil water content</t>
  </si>
  <si>
    <t>https://w3id.org/eusoilvoc#SoilWaterContents</t>
  </si>
  <si>
    <t>https://doi.org/10.5281/zenodo.10065971</t>
  </si>
  <si>
    <t>Database of topsoil  chemical and physical properties in Croatia</t>
  </si>
  <si>
    <t>&lt;h3&gt;Sources&lt;/h3&gt;&lt;p&gt;Data for database is collected from four main sources:&amp;nbsp;&lt;/p&gt;&lt;ul&gt;&lt;li&gt;Data published in book "Martinović, J. and Vranković, A. (Editors), 1997. Baza podataka o hrvatskim tlima, I. Državna uprava za zaštitu prirode i okoliša, Zagreb" labeled as "martinovic_1997" in the database.&lt;ul&gt;&lt;li&gt;This source consists of 2199 pedological profiles sampled from 1963 to 1996, most of which include depth to bedrock information.&lt;/li&gt;&lt;/ul&gt;&lt;/li&gt;&lt;li&gt;Data from project: "Spatial variability of trace and toxic metals in agricultural soils of Croatia", Ministry of Science and Education and Croatian Waters. Project leader: prof.dr.sc. Marija Romić from Faculty of Agriculture, Zagreb, labeled as "agricultural_2013".&lt;ul&gt;&lt;li&gt;Data are sampled from "database of properties and quality of agricultural soils of Croatia" on 8x8 km grid and consists only from top soil samples (0-30 cm). There are 811 samples in this database.&lt;/li&gt;&lt;/ul&gt;&lt;/li&gt;&lt;li&gt;Data from the the project: "Change in soil carbon stocks and calculation of trends in total nitrogen and organic carbon in soil and C: N ratio", from Ministry of Environmental Protection and Energy, carried on by Croatian Geological Institute (HGI), the Croatian Forestry Institute (HŠI) and the Agricultural Land Agency (APZ).&lt;ul&gt;&lt;li&gt;This dataset consists of two subsets:&lt;ul&gt;&lt;li&gt;"azo_2013" - 2519 samples of topsoil (0-25 cm), from 1994 to 2004 for making of Geochemistry Atlas of Croatia&lt;/li&gt;&lt;li&gt;"azo_2016"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"Upgrading and Development of the Environmental Information System and Improving the Monitoring and Reporting System on the State of the Environment in the Republic of Croatia",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"Protocol for soil sampling to confirm changes in organic carbon stocks in the EU"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t>
  </si>
  <si>
    <t>bulk density whole soil</t>
  </si>
  <si>
    <t>https://w3id.org/eusoilvoc#BulkDensityWholeSoil</t>
  </si>
  <si>
    <t>soil depth bedrock</t>
  </si>
  <si>
    <t>https://w3id.org/eusoilvoc#SoilDepthBedrock</t>
  </si>
  <si>
    <t>soil bulk density</t>
  </si>
  <si>
    <t>https://w3id.org/eusoilvoc#SoilBulkDensity</t>
  </si>
  <si>
    <t>wet soil bulk density</t>
  </si>
  <si>
    <t>https://w3id.org/eusoilvoc#WetSoilBulkDensity</t>
  </si>
  <si>
    <t>soluble salts</t>
  </si>
  <si>
    <t>https://w3id.org/eusoilvoc#SolubleSalts</t>
  </si>
  <si>
    <t>soil particle density</t>
  </si>
  <si>
    <t>https://w3id.org/eusoilvoc#SoilParticleDensity</t>
  </si>
  <si>
    <t>aggregated silt clay</t>
  </si>
  <si>
    <t>https://w3id.org/eusoilvoc#AggregatedSiltClay</t>
  </si>
  <si>
    <t>carbonate</t>
  </si>
  <si>
    <t>https://w3id.org/eusoilvoc#Carbonate</t>
  </si>
  <si>
    <t>soil apparent density</t>
  </si>
  <si>
    <t>https://w3id.org/eusoilvoc#SoilApparentDensity</t>
  </si>
  <si>
    <t>soil clay contents</t>
  </si>
  <si>
    <t>https://w3id.org/eusoilvoc#SoilClayContents</t>
  </si>
  <si>
    <t>soil silt content</t>
  </si>
  <si>
    <t>https://w3id.org/eusoilvoc#SoilSiltContents</t>
  </si>
  <si>
    <t>soil clay mineral</t>
  </si>
  <si>
    <t>https://w3id.org/eusoilvoc#SoilClayMineral</t>
  </si>
  <si>
    <t>soil pore space</t>
  </si>
  <si>
    <t>https://w3id.org/eusoilvoc#SoilPoreSpace</t>
  </si>
  <si>
    <t>salts</t>
  </si>
  <si>
    <t>https://w3id.org/eusoilvoc#Salts</t>
  </si>
  <si>
    <t>coarse fragments</t>
  </si>
  <si>
    <t>https://w3id.org/eusoilvoc#CoarseFragments</t>
  </si>
  <si>
    <t>cation exchange capacity</t>
  </si>
  <si>
    <t>https://w3id.org/eusoilvoc#CationExchangeCapacity</t>
  </si>
  <si>
    <t>soil texture</t>
  </si>
  <si>
    <t>https://w3id.org/eusoilvoc#SoilCohesion</t>
  </si>
  <si>
    <t>https://w3id.org/eusoilvoc#SoilTexture</t>
  </si>
  <si>
    <t>carbonate content</t>
  </si>
  <si>
    <t>https://w3id.org/eusoilvoc#CarbonateContents</t>
  </si>
  <si>
    <t>https://doi.org/10.5281/zenodo.18548081</t>
  </si>
  <si>
    <t>Code and data: Microbial carbon metabolism is linked to organic matter chemistry across soil systems</t>
  </si>
  <si>
    <t>&lt;p&gt;This repository contains R code and data that belong to the preprint:&lt;/p&gt;
&lt;div&gt;
&lt;div&gt;
&lt;div&gt;
&lt;div&gt;
&lt;div&gt;
&lt;div&gt;
&lt;div&gt;
&lt;div&gt;
&lt;div&gt;
&lt;div&gt;Microbial carbon metabolism is linked to organic matter chemistry across soil systems&lt;/div&gt;
&lt;/div&gt;
&lt;div&gt;Daniel Wasner, Oliver Lechtenfeld, Jan Kaesler, Sebastian Doetterl, Meret Aeppli&lt;/div&gt;
&lt;div&gt;bioRxiv 2026.01.20.700515; doi: https://doi.org/10.64898/2026.01.20.700515&lt;/div&gt;
&lt;/div&gt;
&lt;/div&gt;
&lt;/div&gt;
&lt;/div&gt;
&lt;/div&gt;
&lt;/div&gt;
&lt;/div&gt;
&lt;/div&gt;</t>
  </si>
  <si>
    <t>oai:pub.epsilon.slu.se:33460</t>
  </si>
  <si>
    <t>Depth-dependent responses of soil organic carbon under nitrogen deposition</t>
  </si>
  <si>
    <t>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t>
  </si>
  <si>
    <t>550</t>
  </si>
  <si>
    <t>Column1</t>
  </si>
  <si>
    <t>Column2</t>
  </si>
  <si>
    <t>Column3</t>
  </si>
  <si>
    <t>Kolomlabels</t>
  </si>
  <si>
    <t>Totaal Aantal van Review</t>
  </si>
  <si>
    <t>Totaal Aantal van Review2</t>
  </si>
  <si>
    <t>Rijlabels</t>
  </si>
  <si>
    <t>Aantal van Review</t>
  </si>
  <si>
    <t>Aantal van Review2</t>
  </si>
  <si>
    <t>keyword matching</t>
  </si>
  <si>
    <t>Eindtotaal</t>
  </si>
  <si>
    <t>(leeg)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</si>
</sst>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theme="10"/>
      <name val="Calibri"/>
      <family val="2"/>
      <scheme val="minor"/>
    </font>
    <font>
      <sz val="11"/>
      <color rgb="FF9C5700"/>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FFEB9C"/>
      </patternFill>
    </fill>
  </fills>
  <borders count="2">
    <border>
      <left/>
      <right/>
      <top/>
      <bottom/>
      <diagonal/>
    </border>
    <border>
      <left/>
      <right style="thin">
        <color theme="4"/>
      </right>
      <top style="thin">
        <color theme="4"/>
      </top>
      <bottom/>
      <diagonal/>
    </border>
  </borders>
  <cellStyleXfs count="3">
    <xf numFmtId="0" fontId="0" fillId="0" borderId="0"/>
    <xf numFmtId="0" fontId="2" fillId="0" borderId="0" applyNumberFormat="0" applyFill="0" applyBorder="0" applyAlignment="0" applyProtection="0"/>
    <xf numFmtId="0" fontId="3" fillId="3" borderId="0" applyNumberFormat="0" applyBorder="0" applyAlignment="0" applyProtection="0"/>
  </cellStyleXfs>
  <cellXfs count="12">
    <xf numFmtId="0" fontId="0" fillId="0" borderId="0" xfId="0"/>
    <xf numFmtId="0" fontId="1" fillId="0" borderId="0" xfId="0" applyFont="1"/>
    <xf numFmtId="0" fontId="0" fillId="2" borderId="0" xfId="0" applyFill="1"/>
    <xf numFmtId="0" fontId="0" fillId="0" borderId="0" xfId="0" applyAlignment="1">
      <alignment wrapText="1"/>
    </xf>
    <xf numFmtId="0" fontId="2" fillId="0" borderId="0" xfId="1"/>
    <xf numFmtId="0" fontId="3" fillId="3" borderId="0" xfId="2"/>
    <xf numFmtId="0" fontId="0" fillId="0" borderId="1" xfId="0"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4" fillId="0" borderId="0" xfId="0" applyFont="1"/>
  </cellXfs>
  <cellStyles count="3">
    <cellStyle name="Hyperlink" xfId="1" builtinId="8"/>
    <cellStyle name="Neutraal" xfId="2" builtinId="28"/>
    <cellStyle name="Standaard" xfId="0" builtinId="0"/>
  </cellStyles>
  <dxfs count="15">
    <dxf>
      <font>
        <color rgb="FFFF0000"/>
      </font>
      <fill>
        <patternFill>
          <bgColor rgb="FFFFE1E1"/>
        </patternFill>
      </fill>
    </dxf>
    <dxf>
      <font>
        <color rgb="FF00B050"/>
      </font>
      <fill>
        <patternFill>
          <bgColor rgb="FFC8FCD9"/>
        </patternFill>
      </fill>
    </dxf>
    <dxf>
      <font>
        <color rgb="FFA27B00"/>
      </font>
      <fill>
        <patternFill>
          <bgColor rgb="FFFFFFAB"/>
        </patternFill>
      </fill>
    </dxf>
    <dxf>
      <fill>
        <gradientFill degree="270">
          <stop position="0">
            <color theme="0"/>
          </stop>
          <stop position="1">
            <color theme="0" tint="-0.25098422193060094"/>
          </stop>
        </gradientFill>
      </fill>
      <border>
        <top style="thin">
          <color auto="1"/>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A27B00"/>
      <color rgb="FFFFFFAB"/>
      <color rgb="FFC8FCD9"/>
      <color rgb="FFFFE1E1"/>
      <color rgb="FFFFD9D9"/>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cruyssen Max" refreshedDate="46288.456865046297" createdVersion="8" refreshedVersion="8" minRefreshableVersion="3" recordCount="1292" xr:uid="{458915D7-90A8-4B57-980A-469CAA6F5387}">
  <cacheSource type="worksheet">
    <worksheetSource name="keyword_comparison"/>
  </cacheSource>
  <cacheFields count="17">
    <cacheField name="record_identifier" numFmtId="0">
      <sharedItems/>
    </cacheField>
    <cacheField name="title" numFmtId="0">
      <sharedItems/>
    </cacheField>
    <cacheField name="abstract" numFmtId="0">
      <sharedItems longText="1"/>
    </cacheField>
    <cacheField name="language" numFmtId="0">
      <sharedItems/>
    </cacheField>
    <cacheField name="keywords_source" numFmtId="0">
      <sharedItems count="4">
        <s v="original"/>
        <s v="ce_extracted"/>
        <s v="keybert_extracted"/>
        <s v="keyllm_extracted"/>
      </sharedItems>
    </cacheField>
    <cacheField name="subject_label" numFmtId="0">
      <sharedItems containsBlank="1"/>
    </cacheField>
    <cacheField name="subject_kind" numFmtId="0">
      <sharedItems containsBlank="1"/>
    </cacheField>
    <cacheField name="keyword_matcher_output" numFmtId="0">
      <sharedItems containsBlank="1"/>
    </cacheField>
    <cacheField name="Review" numFmtId="0">
      <sharedItems containsBlank="1" count="4">
        <m/>
        <s v="!"/>
        <s v="o"/>
        <s v="x"/>
      </sharedItems>
    </cacheField>
    <cacheField name="concept_label" numFmtId="0">
      <sharedItems containsBlank="1"/>
    </cacheField>
    <cacheField name="concept_uri" numFmtId="0">
      <sharedItems containsBlank="1"/>
    </cacheField>
    <cacheField name="Observable property" numFmtId="0">
      <sharedItems containsBlank="1"/>
    </cacheField>
    <cacheField name="ce_score" numFmtId="0">
      <sharedItems containsString="0" containsBlank="1" containsNumber="1" minValue="5.04E-2" maxValue="0.99970000000000003"/>
    </cacheField>
    <cacheField name="ce_rank" numFmtId="0">
      <sharedItems containsString="0" containsBlank="1" containsNumber="1" containsInteger="1" minValue="1" maxValue="39" count="40">
        <m/>
        <n v="1"/>
        <n v="2"/>
        <n v="3"/>
        <n v="4"/>
        <n v="5"/>
        <n v="6"/>
        <n v="7"/>
        <n v="8"/>
        <n v="9"/>
        <n v="10"/>
        <n v="11"/>
        <n v="12"/>
        <n v="13"/>
        <n v="14"/>
        <n v="15"/>
        <n v="16"/>
        <n v="17"/>
        <n v="18"/>
        <n v="19"/>
        <n v="20"/>
        <n v="21"/>
        <n v="22"/>
        <n v="23"/>
        <n v="24"/>
        <n v="25"/>
        <n v="26"/>
        <n v="27"/>
        <n v="28"/>
        <n v="29"/>
        <n v="30"/>
        <n v="31"/>
        <n v="32"/>
        <n v="33"/>
        <n v="34"/>
        <n v="35"/>
        <n v="36"/>
        <n v="37"/>
        <n v="38"/>
        <n v="39"/>
      </sharedItems>
    </cacheField>
    <cacheField name="llm_rank" numFmtId="0">
      <sharedItems containsString="0" containsBlank="1" containsNumber="1" containsInteger="1" minValue="1" maxValue="67" count="18">
        <m/>
        <n v="1"/>
        <n v="2"/>
        <n v="3"/>
        <n v="4"/>
        <n v="6"/>
        <n v="7"/>
        <n v="8"/>
        <n v="9"/>
        <n v="10"/>
        <n v="23"/>
        <n v="24"/>
        <n v="25"/>
        <n v="26"/>
        <n v="27"/>
        <n v="28"/>
        <n v="67"/>
        <n v="5"/>
      </sharedItems>
    </cacheField>
    <cacheField name="record_evaluated" numFmtId="0">
      <sharedItems containsSemiMixedTypes="0" containsString="0" containsNumber="1" containsInteger="1" minValue="0" maxValue="32"/>
    </cacheField>
    <cacheField name="record_has_match"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2">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woody  perennials"/>
    <s v="free_keyword"/>
    <s v="https://w3id.org/eusoilvoc#Trees"/>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atkis"/>
    <s v="free_keyword"/>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remote  sensing"/>
    <s v="free_keyword"/>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orthophotos"/>
    <s v="free_keyword"/>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above-ground biomass"/>
    <s v="free_keyword"/>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trees outside forests"/>
    <s v="free_keyword"/>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04 agricultural and veterinary sciences"/>
    <s v="fos"/>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0"/>
    <s v="0401 agriculture, forestry, and fisheries"/>
    <s v="fos"/>
    <m/>
    <x v="0"/>
    <m/>
    <m/>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biomass"/>
    <s v="https://w3id.org/eusoilvoc#Biomass"/>
    <m/>
    <n v="0.1132"/>
    <x v="1"/>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carbon storage capacity"/>
    <s v="https://w3id.org/eusoilvoc#CarbonStorageCapacity"/>
    <m/>
    <n v="8.6800000000000002E-2"/>
    <x v="2"/>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soil aggregate size"/>
    <s v="https://w3id.org/eusoilvoc#SoilAggregateSize"/>
    <m/>
    <n v="6.6100000000000006E-2"/>
    <x v="3"/>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soil particle size"/>
    <s v="https://w3id.org/eusoilvoc#SoilParticleSize"/>
    <m/>
    <n v="6.3E-2"/>
    <x v="4"/>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vegetation"/>
    <s v="https://w3id.org/eusoilvoc#Vegetation"/>
    <m/>
    <n v="5.8299999999999998E-2"/>
    <x v="5"/>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soil particle size distribution"/>
    <s v="https://w3id.org/eusoilvoc#SoilParticleSizeDistribution"/>
    <m/>
    <n v="5.6000000000000001E-2"/>
    <x v="6"/>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1"/>
    <m/>
    <m/>
    <m/>
    <x v="0"/>
    <s v="soil aggregate size distribution"/>
    <s v="https://w3id.org/eusoilvoc#SoilAggregateSizeDistribution"/>
    <m/>
    <n v="5.4699999999999999E-2"/>
    <x v="7"/>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2"/>
    <m/>
    <m/>
    <m/>
    <x v="0"/>
    <s v="climate"/>
    <s v="https://w3id.org/eusoilvoc#Climate"/>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2"/>
    <m/>
    <m/>
    <m/>
    <x v="0"/>
    <s v="biomass"/>
    <s v="https://w3id.org/eusoilvoc#Biomass"/>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2"/>
    <m/>
    <m/>
    <m/>
    <x v="0"/>
    <s v="emissions"/>
    <s v="https://w3id.org/eusoilvoc#Emissions"/>
    <m/>
    <m/>
    <x v="0"/>
    <x v="0"/>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biomass"/>
    <s v="https://w3id.org/eusoilvoc#Biomass"/>
    <m/>
    <m/>
    <x v="0"/>
    <x v="1"/>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land use"/>
    <s v="https://w3id.org/eusoilvoc#LandUse"/>
    <m/>
    <m/>
    <x v="0"/>
    <x v="2"/>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land cover"/>
    <s v="https://w3id.org/eusoilvoc#LandCover"/>
    <m/>
    <m/>
    <x v="0"/>
    <x v="3"/>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carbon pool"/>
    <s v="https://w3id.org/eusoilvoc#CarbonPools"/>
    <m/>
    <m/>
    <x v="0"/>
    <x v="4"/>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climate regulation"/>
    <s v="https://w3id.org/eusoilvoc#ClimateRegulation"/>
    <m/>
    <m/>
    <x v="0"/>
    <x v="5"/>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vegetation"/>
    <s v="https://w3id.org/eusoilvoc#Vegetation"/>
    <m/>
    <m/>
    <x v="0"/>
    <x v="6"/>
    <n v="0"/>
    <n v="1"/>
  </r>
  <r>
    <s v="10.1007/s10457-025-01358-7"/>
    <s v="Hidden gems: small woody landscape features on agricultural land are overlooked in current assessments of agroforestry in Germany"/>
    <s v="&lt;jats:title&gt;Abstract&lt;/jats:title&gt;                   &lt;jats:p&gt;                     In the light of escalating climate challenges, agroforestry is receiving renewed attention for its potential to mitigate greenhouse gas emissions while enhancing the resilience of agricultural systems. The main difference between agroforestry and conventional agricultural systems is the presence and management of woody landscape features (WLF). The few datasets assessing WLF on agricultural land are limited in their spatial resolution and apply minimum mapping thresholds, potentially biasing derived estimates of WLF characteristics. Our study aimed to assess the current extent of WLF in Germany with high spatial resolution, including size variability and WLF type composition. We investigated WLF on agricultural land across seven federal states. In each of the seven states, 100 grid cells totalling 25 km                     &lt;jats:sup&gt;2&lt;/jats:sup&gt;                     of agricultural land were selected, amounting to a total area of 175 km                     &lt;jats:sup&gt;2&lt;/jats:sup&gt;                     . Within this area, WLF were manually identified, delineated and classified using digital orthophotos. The results were compared with state-of-the-art datasets, particularly the Digital Basic Landscape Model (ATKIS). We identified a total of 4.8 km                     &lt;jats:sup&gt;2&lt;/jats:sup&gt;                     land hosting WLF, covering 2.7% of the investigated area. The extent of WLF estimated in our study was twice as large as the estimate derived from the ATKIS dataset. Overall, we identified a much larger number of WLF, which were on average much smaller in size compared to the WLF in the ATKIS dataset. Extrapolating our results to the national level, we estimate WLF coverage at 4,899 km                     &lt;jats:sup&gt;2&lt;/jats:sup&gt;                     , corresponding to 57.2 Tg above-ground biomass or 28.6 Tg carbon. The biomass and carbon content were estimated based on literature-derived biomass densities. Our study indicates that accurately assessing WLF requires higher spatial resolutions than previously used. Datasets based on low-resolution images and those using minimal mapping units are not suited for capturing small WLF.                   &lt;/jats:p&gt;"/>
    <s v="en"/>
    <x v="3"/>
    <s v=""/>
    <s v=""/>
    <m/>
    <x v="0"/>
    <s v="tree"/>
    <s v="https://w3id.org/eusoilvoc#Trees"/>
    <m/>
    <m/>
    <x v="0"/>
    <x v="7"/>
    <n v="0"/>
    <n v="1"/>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04 agricultural and veterinary sciences"/>
    <s v="fos"/>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environmental sciences"/>
    <s v="free_keyword"/>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biochar risk assessment gasification temperature chemical-physical tests mutagenic assay phytotoxicity"/>
    <s v="free_keyword"/>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01 natural sciences"/>
    <s v="fos"/>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0401 agriculture, forestry, and fisheries"/>
    <s v="fos"/>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0106 biological sciences"/>
    <s v="fos"/>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15. life on land"/>
    <s v="sdg"/>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gasification temperature"/>
    <s v="free_keyword"/>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13. climate action"/>
    <s v="sdg"/>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mutagenic assay"/>
    <s v="free_keyword"/>
    <m/>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biochar risk assessment"/>
    <s v="free_keyword"/>
    <s v=""/>
    <x v="1"/>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chemical-physical tests"/>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settore bios-10/a - biologia cellulare e applicata"/>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biomass"/>
    <s v="free_keyword"/>
    <s v="https://w3id.org/eusoilvoc#Biomass"/>
    <x v="2"/>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wood"/>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630"/>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environmental management"/>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soil"/>
    <s v="free_keyword"/>
    <s v="https://w3id.org/eusoilvoc#Soil"/>
    <x v="2"/>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phytotoxicity"/>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0"/>
    <s v="charcoal"/>
    <s v="free_keyword"/>
    <s v=""/>
    <x v="0"/>
    <m/>
    <m/>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1"/>
    <m/>
    <m/>
    <s v=""/>
    <x v="2"/>
    <s v="biomass"/>
    <s v="https://w3id.org/eusoilvoc#Biomass"/>
    <m/>
    <n v="0.18659999999999999"/>
    <x v="1"/>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1"/>
    <m/>
    <m/>
    <s v=""/>
    <x v="3"/>
    <s v="agricultural sustainability"/>
    <s v="https://w3id.org/eusoilvoc#AgriculturalSustainability"/>
    <m/>
    <n v="7.5999999999999998E-2"/>
    <x v="2"/>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1"/>
    <m/>
    <m/>
    <s v=""/>
    <x v="2"/>
    <s v="micro-organisms"/>
    <s v="https://w3id.org/eusoilvoc#Microorganisms"/>
    <m/>
    <n v="5.28E-2"/>
    <x v="3"/>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1"/>
    <m/>
    <m/>
    <s v=""/>
    <x v="2"/>
    <s v="micro-organisms"/>
    <s v="https://w3id.org/eusoilvoc#Microbes"/>
    <m/>
    <n v="5.28E-2"/>
    <x v="4"/>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2"/>
    <m/>
    <m/>
    <s v=""/>
    <x v="2"/>
    <s v="soil"/>
    <s v="https://w3id.org/eusoilvoc#Soil"/>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2"/>
    <m/>
    <m/>
    <s v=""/>
    <x v="3"/>
    <s v="building"/>
    <s v="https://w3id.org/eusoilvoc#Building"/>
    <m/>
    <m/>
    <x v="0"/>
    <x v="0"/>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agricultural sustainability"/>
    <s v="https://w3id.org/eusoilvoc#AgriculturalSustainability"/>
    <m/>
    <m/>
    <x v="0"/>
    <x v="1"/>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2"/>
    <s v="biomass"/>
    <s v="https://w3id.org/eusoilvoc#Biomass"/>
    <m/>
    <m/>
    <x v="0"/>
    <x v="2"/>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soil water holding capacity"/>
    <s v="https://w3id.org/eusoilvoc#SoilWaterHoldingCapacity"/>
    <m/>
    <m/>
    <x v="0"/>
    <x v="3"/>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2"/>
    <s v="microorganisms"/>
    <s v="https://w3id.org/eusoilvoc#Microbes"/>
    <m/>
    <m/>
    <x v="0"/>
    <x v="4"/>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2"/>
    <s v="microorganisms"/>
    <s v="https://w3id.org/eusoilvoc#Microorganisms"/>
    <m/>
    <m/>
    <x v="0"/>
    <x v="4"/>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seedling emergence"/>
    <s v="https://w3id.org/eusoilvoc#SeedlingEmergence"/>
    <m/>
    <m/>
    <x v="0"/>
    <x v="5"/>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environmental conditions"/>
    <s v="https://w3id.org/eusoilvoc#EnvironmentalFactors"/>
    <m/>
    <m/>
    <x v="0"/>
    <x v="6"/>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soil chemical properties"/>
    <s v="https://w3id.org/eusoilvoc#SoilChemicalProperties"/>
    <m/>
    <m/>
    <x v="0"/>
    <x v="7"/>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3"/>
    <s v="soil physical properties"/>
    <s v="https://w3id.org/eusoilvoc#SoilPhysicalProperties"/>
    <m/>
    <m/>
    <x v="0"/>
    <x v="8"/>
    <n v="19"/>
    <n v="2"/>
  </r>
  <r>
    <s v="10.1016/j.scitotenv.2022.156265"/>
    <s v="Building a risk matrix for the safety assessment of wood derived biochars"/>
    <s v="Biochar is recognized as an efficient amendment and soil improver. However, environmental and quality assessments are needed to ensure the sustainability of its use in agriculture. This work considers the biochar's chemical-physical characterization and its potential phyto- and geno-toxicity, assessed with germination and Ames tests, obtaining valuable information for a safe field application. Three biochar types, obtained from gasification at different temperatures of green biomasses from the Tuscan-Emilian Apennines (in Italy), were compared through a broad chemical, physical and biological evaluation. The results obtained showed the relevance of temperature in determining the chemical and morphological properties of biochar, which was shown with several analytical techniques such as the elemental composition, water holding capacity, ash content, but also with FTIR and X-ray spectroscopies. These techniques showed the presence of different relevant surface aliphatic and aromatic groups. The procedures for evaluating the potential toxicity using seeds germination and Ames genotoxicity assay highlights that biochar does not cause detrimental effects when it enters in contact with soil, micro- and macro-organisms, and plants. The genotoxicity test provided a new highlight in evaluating biochar environmental safety."/>
    <s v="en"/>
    <x v="3"/>
    <s v=""/>
    <s v=""/>
    <s v=""/>
    <x v="2"/>
    <s v="soil biological function"/>
    <s v="https://w3id.org/eusoilvoc#SoilBiologicalFunctions"/>
    <m/>
    <m/>
    <x v="0"/>
    <x v="9"/>
    <n v="19"/>
    <n v="2"/>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article"/>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build resilient infrastructure, promote inclusive and sustainable industrialization and foster innovation"/>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make cities and human settlements inclusive, safe, resilient and sustainable"/>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mass spectrometry"/>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suspect screening"/>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wastewater"/>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ensure healthy lives and promote well-being for all at all ages"/>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solid phase extraction"/>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ensure availability and sustainable management of water and sanitation for all"/>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ensure sustainable consumption and production patterns"/>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take urgent action to combat climate change and its impacts"/>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water pollutants, chemical"/>
    <s v="free_keyword"/>
    <s v="https://w3id.org/eusoilvoc#SoilPollution"/>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chromatography, liquid"/>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pollution footprint"/>
    <s v="free_keyword"/>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01 natural sciences"/>
    <s v="fos"/>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0"/>
    <s v="0104 chemical sciences"/>
    <s v="fos"/>
    <s v=""/>
    <x v="0"/>
    <m/>
    <m/>
    <m/>
    <m/>
    <x v="0"/>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1"/>
    <m/>
    <m/>
    <s v=""/>
    <x v="0"/>
    <s v="effective CEC"/>
    <s v="https://w3id.org/eusoilvoc#EffectiveCEC"/>
    <b v="1"/>
    <n v="0.40110000000000001"/>
    <x v="1"/>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1"/>
    <m/>
    <m/>
    <s v=""/>
    <x v="0"/>
    <s v="micronutrients"/>
    <s v="https://w3id.org/eusoilvoc#Micronutrients"/>
    <m/>
    <n v="8.1299999999999997E-2"/>
    <x v="2"/>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1"/>
    <m/>
    <m/>
    <s v=""/>
    <x v="0"/>
    <s v="macronutrients"/>
    <s v="https://w3id.org/eusoilvoc#Macronutrients"/>
    <m/>
    <n v="6.6299999999999998E-2"/>
    <x v="3"/>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1"/>
    <m/>
    <m/>
    <s v=""/>
    <x v="0"/>
    <s v="soil chemical"/>
    <s v="https://w3id.org/eusoilvoc#SoilChemical"/>
    <m/>
    <n v="5.11E-2"/>
    <x v="4"/>
    <x v="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soil properties"/>
    <s v="https://w3id.org/eusoilvoc#SoilProperties"/>
    <m/>
    <m/>
    <x v="0"/>
    <x v="2"/>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water purification"/>
    <s v="https://w3id.org/eusoilvoc#WaterPurification"/>
    <m/>
    <m/>
    <x v="0"/>
    <x v="10"/>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water regulation"/>
    <s v="https://w3id.org/eusoilvoc#WaterRegulation"/>
    <m/>
    <m/>
    <x v="0"/>
    <x v="11"/>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water storage capacity"/>
    <s v="https://w3id.org/eusoilvoc#WaterStorageCapacity"/>
    <m/>
    <m/>
    <x v="0"/>
    <x v="12"/>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water transfer (in soil)"/>
    <s v="https://w3id.org/eusoilvoc#SoilWaterMovement"/>
    <m/>
    <m/>
    <x v="0"/>
    <x v="13"/>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waste disposal"/>
    <s v="https://w3id.org/eusoilvoc#WasteDisposal"/>
    <m/>
    <m/>
    <x v="0"/>
    <x v="14"/>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liquid waste disposal"/>
    <s v="https://w3id.org/eusoilvoc#LiquidWasteDisposal"/>
    <m/>
    <m/>
    <x v="0"/>
    <x v="15"/>
    <n v="0"/>
    <n v="1"/>
  </r>
  <r>
    <s v="10.1021/acs.analchem.5c01659"/>
    <s v="Evaluation of Three Sample Preparation Methods for LC-HRMS Suspect Screening of Contaminants of Emerging Concern in Effluent Wastewater"/>
    <s v="Suspect screening is a valuable tool for studying the pollution footprint of environmental samples, but the sample preparation (SP) method significantly affects the results. In this study, three SP methods─lyophilization, direct injection, and online solid-phase extraction (SPE)─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
    <s v="en"/>
    <x v="3"/>
    <s v=""/>
    <s v=""/>
    <s v=""/>
    <x v="0"/>
    <s v="environmental factor"/>
    <s v="https://w3id.org/eusoilvoc#EnvironmentalFactors"/>
    <m/>
    <m/>
    <x v="0"/>
    <x v="16"/>
    <n v="0"/>
    <n v="1"/>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dynamics"/>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lactococcus-lactis"/>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biofilms"/>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cooperation"/>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0301 basic medicine"/>
    <s v="fos"/>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0303 health sciences"/>
    <s v="fos"/>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03 medical and health sciences"/>
    <s v="fos"/>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spatial structure"/>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diffusion"/>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glucose"/>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article"/>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evolution"/>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growth-rate"/>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612"/>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0"/>
    <s v="microbiota"/>
    <s v="free_keyword"/>
    <s v=""/>
    <x v="0"/>
    <m/>
    <m/>
    <m/>
    <m/>
    <x v="0"/>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1"/>
    <m/>
    <m/>
    <s v=""/>
    <x v="3"/>
    <s v="gradient"/>
    <s v="https://w3id.org/eusoilvoc#Slope"/>
    <m/>
    <n v="7.6200000000000004E-2"/>
    <x v="1"/>
    <x v="0"/>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3"/>
    <s v=""/>
    <s v=""/>
    <s v=""/>
    <x v="2"/>
    <s v="microorganisms"/>
    <s v="https://w3id.org/eusoilvoc#Microbes"/>
    <m/>
    <m/>
    <x v="0"/>
    <x v="1"/>
    <n v="3"/>
    <n v="0"/>
  </r>
  <r>
    <s v="10.1038/s41396-020-00806-9"/>
    <s v="Microbial competition reduces metabolic interaction distances to the low µm-range"/>
    <s v="&lt;jats:title&gt;Abstract&lt;/jats:title&gt;                   &lt;jats:p&gt;Metabolic interactions between cells affect microbial community compositions and hence their function in ecosystems. It is well-known that under competition for the exchanged metabolite, concentration gradients constrain the distances over which interactions can occur. However, interaction distances are typically quantified in two-dimensional systems or without accounting for competition or other metabolite-removal, conditions which may not very often match natural ecosystems. We here analyze the impact of cell-to-cell distance on unidirectional cross-feeding in a three-dimensional aqueous system with competition for the exchanged metabolite. Effective interaction distances were computed with a reaction-diffusion model and experimentally verified by growing a synthetic consortium of 1 µm-sized metabolite producer, receiver, and competitor cells in different spatial structures. We show that receivers cannot interact with producers located on average 15 µm away from them, as product concentration gradients flatten close to producer cells. We developed an aggregation protocol and varied the receiver cells’ product affinity, to show that within producer–receiver aggregates even low-affinity receiver cells could interact with producers. These results show that competition or other metabolite-removal of a public good in a three-dimensional system reduces metabolic interaction distances to the low µm-range, highlighting the importance of concentration gradients as physical constraint for cellular interactions.&lt;/jats:p&gt;"/>
    <s v="en"/>
    <x v="3"/>
    <s v=""/>
    <s v=""/>
    <s v=""/>
    <x v="2"/>
    <s v="microorganisms"/>
    <s v="https://w3id.org/eusoilvoc#Microorganisms"/>
    <m/>
    <m/>
    <x v="0"/>
    <x v="1"/>
    <n v="3"/>
    <n v="0"/>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environmental sciences"/>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soil carbon inputs"/>
    <s v="free_keyword"/>
    <s v="https://w3id.org/eusoilvoc#SoilTotalCarbon"/>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satellite remote sensing"/>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gross primary productivity"/>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sentinel-2"/>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croplands"/>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agronomy"/>
    <s v="free_keyword"/>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0401 agriculture, forestry, and fisheries"/>
    <s v="fos"/>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0"/>
    <s v="04 agricultural and veterinary sciences"/>
    <s v="fos"/>
    <s v=""/>
    <x v="0"/>
    <m/>
    <m/>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root biomass"/>
    <s v="https://w3id.org/eusoilvoc#RootBiomass"/>
    <m/>
    <n v="0.37040000000000001"/>
    <x v="1"/>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productivity"/>
    <s v="https://w3id.org/eusoilvoc#SoilProductivity"/>
    <m/>
    <n v="0.3231"/>
    <x v="2"/>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carbon dioxide production"/>
    <s v="https://w3id.org/eusoilvoc#SoilCarbonDioxideProduction"/>
    <m/>
    <n v="0.20169999999999999"/>
    <x v="3"/>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total carbon"/>
    <s v="https://w3id.org/eusoilvoc#SoilTotalCarbon"/>
    <b v="1"/>
    <n v="0.18659999999999999"/>
    <x v="4"/>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gaseous emission"/>
    <s v="https://w3id.org/eusoilvoc#SoilGaseousEmission"/>
    <m/>
    <n v="8.9300000000000004E-2"/>
    <x v="5"/>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carbon density"/>
    <s v="https://w3id.org/eusoilvoc#SoilCarbonDensity"/>
    <m/>
    <n v="7.3800000000000004E-2"/>
    <x v="6"/>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organic carbon loss"/>
    <s v="https://w3id.org/eusoilvoc#SOCLoss"/>
    <m/>
    <n v="7.0999999999999994E-2"/>
    <x v="7"/>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1"/>
    <m/>
    <m/>
    <s v=""/>
    <x v="0"/>
    <s v="soil indicators"/>
    <s v="https://w3id.org/eusoilvoc#SoilIndicators"/>
    <m/>
    <n v="6.2E-2"/>
    <x v="8"/>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biomass"/>
    <s v="https://w3id.org/eusoilvoc#Biomass"/>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crop"/>
    <s v="https://w3id.org/eusoilvoc#Crop"/>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soil"/>
    <s v="https://w3id.org/eusoilvoc#Soil"/>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grasses"/>
    <s v="https://w3id.org/eusoilvoc#Grasses"/>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roots"/>
    <s v="https://w3id.org/eusoilvoc#Roots"/>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root"/>
    <s v="https://w3id.org/eusoilvoc#Roots"/>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2"/>
    <m/>
    <m/>
    <s v=""/>
    <x v="0"/>
    <s v="inputs"/>
    <s v="https://w3id.org/eusoilvoc#Inputs"/>
    <m/>
    <m/>
    <x v="0"/>
    <x v="0"/>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soil organic carbon"/>
    <s v="https://w3id.org/eusoilvoc#SoilOrganicCarbon"/>
    <m/>
    <m/>
    <x v="0"/>
    <x v="1"/>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carbon pools"/>
    <s v="https://w3id.org/eusoilvoc#CarbonPools"/>
    <m/>
    <m/>
    <x v="0"/>
    <x v="2"/>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biomass"/>
    <s v="https://w3id.org/eusoilvoc#Biomass"/>
    <m/>
    <m/>
    <x v="0"/>
    <x v="3"/>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crop yield"/>
    <s v="https://w3id.org/eusoilvoc#CropYield"/>
    <m/>
    <m/>
    <x v="0"/>
    <x v="4"/>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crop residue mulch"/>
    <s v="https://w3id.org/eusoilvoc#CropResidueMulch"/>
    <m/>
    <m/>
    <x v="0"/>
    <x v="17"/>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grasses"/>
    <s v="https://w3id.org/eusoilvoc#Grasses"/>
    <m/>
    <m/>
    <x v="0"/>
    <x v="5"/>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crop"/>
    <s v="https://w3id.org/eusoilvoc#Crop"/>
    <m/>
    <m/>
    <x v="0"/>
    <x v="6"/>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vegetation"/>
    <s v="https://w3id.org/eusoilvoc#Vegetation"/>
    <m/>
    <m/>
    <x v="0"/>
    <x v="7"/>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land use"/>
    <s v="https://w3id.org/eusoilvoc#LandUse"/>
    <m/>
    <m/>
    <x v="0"/>
    <x v="8"/>
    <n v="0"/>
    <n v="1"/>
  </r>
  <r>
    <s v="10.1080/17583004.2025.2568042"/>
    <s v="Improving agricultural carbon monitoring with Sentinel-2 and eddy-covariance-based plant productivity estimates"/>
    <s v="&lt;p&gt;Carbon balances of croplands are often assessed using models that depend critically on accurate estimates of soil carbon inputs such as crop residues, dead roots, and root exudates. Here, we develop a method to estimate soil carbon inputs by combining satellite-based gross primary productivity (GPP) estimates with harvest yields extracted from agricultural statistics. We model the daily GPP as a statistical regression on photosynthetically active radiation and the red edge chlorophyll index measured by the Sentinel-2 satellites and train the model using data from five eddy covariance flux measurement sites. When tested with leave-one-site-out cross-validation, the model predicted the yearly GPP with a root mean squared error equal to about 10% of the mean. We furthermore show that the predicted cumulative GPP explains 60%&amp;ndash;70% of the observed variability within a set of 135 above-ground biomass measurements collected on 40 agricultural fields. Finally, we apply the method to three Finnish regions and estimate the soil carbon inputs as the difference between the net primary productivity (NPP), assumed 50% of the GPP, and the carbon removed in harvest. Compared to the allometric method used in the current national greenhouse gas inventory, our annual carbon inputs are within 5%&amp;ndash;30% for wheat but 50%&amp;ndash;100% higher for barley, 40%&amp;ndash;50% higher for green fallows, and 100%&amp;ndash;160% higher for forage grasses. By highlighting a discrepancy between the current national greenhouse gas inventory and carbon budgets derived from eddy covariance measurements, these results provide a path towards closer integration of Earth observation and flux measurement data into greenhouse gas inventories and reporting systems.&lt;/p&gt;"/>
    <s v="en"/>
    <x v="3"/>
    <s v=""/>
    <s v=""/>
    <s v=""/>
    <x v="0"/>
    <s v="soil organic matter"/>
    <s v="https://w3id.org/eusoilvoc#SoilOrganicMatter"/>
    <m/>
    <m/>
    <x v="0"/>
    <x v="9"/>
    <n v="0"/>
    <n v="1"/>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2. zero hunger"/>
    <s v="sdg"/>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03 medical and health sciences"/>
    <s v="fos"/>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0301 basic medicine"/>
    <s v="fos"/>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13. climate action"/>
    <s v="sdg"/>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0303 health sciences"/>
    <s v="fos"/>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0"/>
    <s v="15. life on land"/>
    <s v="sdg"/>
    <s v=""/>
    <x v="0"/>
    <m/>
    <m/>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biological processes"/>
    <s v="https://w3id.org/eusoilvoc#SoilBiologicalProcesses"/>
    <m/>
    <n v="0.88790000000000002"/>
    <x v="1"/>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health"/>
    <s v="https://w3id.org/eusoilvoc#SoilQuality"/>
    <m/>
    <n v="0.41199999999999998"/>
    <x v="2"/>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health"/>
    <s v="https://w3id.org/eusoilvoc#SoilHealth"/>
    <m/>
    <n v="0.41199999999999998"/>
    <x v="3"/>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environmental functions"/>
    <s v="https://w3id.org/eusoilvoc#SoilEnvironmentalFunctions"/>
    <m/>
    <n v="0.308"/>
    <x v="4"/>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physical processes"/>
    <s v="https://w3id.org/eusoilvoc#SoilPhysicalProcesses"/>
    <m/>
    <n v="0.2893"/>
    <x v="5"/>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2"/>
    <s v="soil biological properties"/>
    <s v="https://w3id.org/eusoilvoc#SoilBiologicalProperties"/>
    <m/>
    <n v="0.18379999999999999"/>
    <x v="6"/>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1"/>
    <m/>
    <m/>
    <s v=""/>
    <x v="3"/>
    <s v="soil biological degradation"/>
    <s v="https://w3id.org/eusoilvoc#SoilBiologicalDegradation"/>
    <m/>
    <n v="0.1096"/>
    <x v="7"/>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2"/>
    <m/>
    <m/>
    <s v=""/>
    <x v="2"/>
    <s v="emission"/>
    <s v="https://w3id.org/eusoilvoc#Emissions"/>
    <m/>
    <m/>
    <x v="0"/>
    <x v="0"/>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2"/>
    <s v="soil biological processes"/>
    <s v="https://w3id.org/eusoilvoc#SoilBiologicalProcesses"/>
    <m/>
    <m/>
    <x v="0"/>
    <x v="1"/>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3"/>
    <s v="soil chemical processes"/>
    <s v="https://w3id.org/eusoilvoc#SoilChemicalProcesses"/>
    <m/>
    <m/>
    <x v="0"/>
    <x v="2"/>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3"/>
    <s v="soil functions"/>
    <s v="https://w3id.org/eusoilvoc#SoilFunctions"/>
    <m/>
    <m/>
    <x v="0"/>
    <x v="3"/>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3"/>
    <s v="soil structure"/>
    <s v="https://w3id.org/eusoilvoc#SoilStructure"/>
    <m/>
    <m/>
    <x v="0"/>
    <x v="4"/>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2"/>
    <s v="soil processes"/>
    <s v="https://w3id.org/eusoilvoc#SoilProcesses"/>
    <m/>
    <m/>
    <x v="0"/>
    <x v="17"/>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3"/>
    <s v="soil gaseous emission"/>
    <s v="https://w3id.org/eusoilvoc#SoilGaseousEmission"/>
    <m/>
    <m/>
    <x v="0"/>
    <x v="5"/>
    <n v="15"/>
    <n v="0"/>
  </r>
  <r>
    <s v="10.1101/2021.11.19.468202"/>
    <s v="Smart soils to observe hidden rhizosphere processes"/>
    <s v="&lt;jats:title&gt;Summary&lt;/jats:title&gt;                 &lt;jats:p&gt;Agriculture must reduce green-house gas emission and pollution, produce safer and healthier food, closer to home, reducing waste whilst delivering more diverse diets to a growing world population. Soils could enable this transformation, but unfortunately, they have a hugely complex and opaque structure and studies of its myriad of mechanisms are difficult. Here, the fabrication of smart soils for the screening of below-ground bio-processes is demonstrated. Particles were generated from fluoropolymer waste with functionalisation converting them into sensors able to report on key chemical dynamics. Tailored functionalization was obtained by radical terpolymerisation to improve growth conditions and sensing capabilities. The study demonstrates the potential for the development of accelerated genetic or agrochemical screens and could pave the way for improved models for rhizosphere dynamics.&lt;/jats:p&gt;"/>
    <s v="en"/>
    <x v="3"/>
    <s v=""/>
    <s v=""/>
    <s v=""/>
    <x v="3"/>
    <s v="soil pollution"/>
    <s v="https://w3id.org/eusoilvoc#SoilPollution"/>
    <m/>
    <m/>
    <x v="0"/>
    <x v="6"/>
    <n v="15"/>
    <n v="0"/>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04 agricultural and veterinary sciences"/>
    <s v="fos"/>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soil organic carbon"/>
    <s v="free_keyword"/>
    <s v="https://w3id.org/eusoilvoc#SoilOrganicCarbon"/>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0401 agriculture, forestry, and fisheries"/>
    <s v="fos"/>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environmental performance"/>
    <s v="free_keyword"/>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13. climate action"/>
    <s v="sdg"/>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12. responsible consumption"/>
    <s v="sdg"/>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15. life on land"/>
    <s v="sdg"/>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management"/>
    <s v="free_keyword"/>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nutrient surplus"/>
    <s v="free_keyword"/>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crop yield"/>
    <s v="free_keyword"/>
    <s v="https://w3id.org/eusoilvoc#CropYield"/>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decision support tools"/>
    <s v="free_keyword"/>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0"/>
    <s v="2. zero hunger"/>
    <s v="sdg"/>
    <s v=""/>
    <x v="0"/>
    <m/>
    <m/>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agricultural sustainability"/>
    <s v="https://w3id.org/eusoilvoc#AgriculturalSustainability"/>
    <m/>
    <n v="0.89510000000000001"/>
    <x v="1"/>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soil management"/>
    <s v="https://w3id.org/eusoilvoc#SoilManagement"/>
    <m/>
    <n v="0.31430000000000002"/>
    <x v="2"/>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soil organic carbon loss"/>
    <s v="https://w3id.org/eusoilvoc#SOCLoss"/>
    <m/>
    <n v="0.312"/>
    <x v="3"/>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crop yield"/>
    <s v="https://w3id.org/eusoilvoc#CropYield"/>
    <m/>
    <n v="0.1651"/>
    <x v="4"/>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soil agricultural function"/>
    <s v="https://w3id.org/eusoilvoc#SoilAgriculturalFunctions"/>
    <m/>
    <n v="0.15859999999999999"/>
    <x v="5"/>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1"/>
    <m/>
    <m/>
    <s v=""/>
    <x v="0"/>
    <s v="soil indicators"/>
    <s v="https://w3id.org/eusoilvoc#SoilIndicators"/>
    <m/>
    <n v="0.1139"/>
    <x v="6"/>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soil fertility"/>
    <s v="https://w3id.org/eusoilvoc#SoilProductivity"/>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crop yield"/>
    <s v="https://w3id.org/eusoilvoc#CropYield"/>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soil organic carbon"/>
    <s v="https://w3id.org/eusoilvoc#SoilOrganicCarbon"/>
    <b v="1"/>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soil tillage"/>
    <s v="https://w3id.org/eusoilvoc#SoilTillage"/>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crop"/>
    <s v="https://w3id.org/eusoilvoc#Crop"/>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soil"/>
    <s v="https://w3id.org/eusoilvoc#Soil"/>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nitrogen"/>
    <s v="https://w3id.org/eusoilvoc#Nitrogen"/>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climate"/>
    <s v="https://w3id.org/eusoilvoc#Climate"/>
    <m/>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2"/>
    <m/>
    <m/>
    <s v=""/>
    <x v="0"/>
    <s v="SOC"/>
    <s v="https://w3id.org/eusoilvoc#SoilOrganicCarbon"/>
    <b v="1"/>
    <m/>
    <x v="0"/>
    <x v="0"/>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crop yield"/>
    <s v="https://w3id.org/eusoilvoc#CropYield"/>
    <m/>
    <m/>
    <x v="0"/>
    <x v="1"/>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soil organic carbon"/>
    <s v="https://w3id.org/eusoilvoc#SoilOrganicCarbon"/>
    <m/>
    <m/>
    <x v="0"/>
    <x v="2"/>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soil nitrogen loss"/>
    <s v="https://w3id.org/eusoilvoc#SoilNLoss"/>
    <m/>
    <m/>
    <x v="0"/>
    <x v="3"/>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fertiliser use"/>
    <s v="https://w3id.org/eusoilvoc#FertiliserUse"/>
    <m/>
    <m/>
    <x v="0"/>
    <x v="4"/>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soil tillage"/>
    <s v="https://w3id.org/eusoilvoc#SoilTillage"/>
    <m/>
    <m/>
    <x v="0"/>
    <x v="17"/>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agricultural sustainability"/>
    <s v="https://w3id.org/eusoilvoc#AgriculturalSustainability"/>
    <m/>
    <m/>
    <x v="0"/>
    <x v="5"/>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conservation tillage"/>
    <s v="https://w3id.org/eusoilvoc#ConservationTillage"/>
    <m/>
    <m/>
    <x v="0"/>
    <x v="6"/>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no till"/>
    <s v="https://w3id.org/eusoilvoc#NoTill"/>
    <m/>
    <m/>
    <x v="0"/>
    <x v="7"/>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soil management"/>
    <s v="https://w3id.org/eusoilvoc#SoilManagement"/>
    <m/>
    <m/>
    <x v="0"/>
    <x v="8"/>
    <n v="0"/>
    <n v="2"/>
  </r>
  <r>
    <s v="10.1111/ejss.13024"/>
    <s v="A decision support framework assessing management impacts on crop yield, soil carbon changes and nitrogen losses to the environment"/>
    <s v="&lt;jats:title&gt;Abstract&lt;/jats:title&gt;                   &lt;jats:sec&gt;                     &lt;jats:label/&gt;                     &lt;jats:p&gt;                       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                       &lt;jats:sub&gt;3&lt;/jats:sub&gt;                       &lt;jats:sup&gt;−&lt;/jats:sup&gt;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lt;/jats:p&gt;                   &lt;/jats:sec&gt;                   &lt;jats:sec&gt;                     &lt;jats:title&gt;Highlights&lt;/jats:title&gt;                     &lt;jats:p&gt;                       &lt;jats:list list-type=&quot;bullet&quot;&gt;                         &lt;jats:list-item&gt;                           &lt;jats:p&gt;We find a lack of empirical‐based DSTs holistically assessing agronomic practices and indicators.&lt;/jats:p&gt;                         &lt;/jats:list-item&gt;                         &lt;jats:list-item&gt;                           &lt;jats:p&gt;Meta‐analytical models were used to assess impacts of best fertilizer, tillage and crop measures.&lt;/jats:p&gt;                         &lt;/jats:list-item&gt;                         &lt;jats:list-item&gt;                           &lt;jats:p&gt;Our multi‐criteria analysis shows impacts vary with crop, soil and climate in European regions.&lt;/jats:p&gt;                         &lt;/jats:list-item&gt;                         &lt;jats:list-item&gt;                           &lt;jats:p&gt;We demonstrate our developed framework focusing on crop yield, soil carbon and nitrogen losses.&lt;/jats:p&gt;                         &lt;/jats:list-item&gt;                       &lt;/jats:list&gt;                     &lt;/jats:p&gt;                   &lt;/jats:sec&gt;"/>
    <s v="en"/>
    <x v="3"/>
    <s v=""/>
    <s v=""/>
    <s v=""/>
    <x v="0"/>
    <s v="soil indicator"/>
    <s v="https://w3id.org/eusoilvoc#SoilIndicators"/>
    <m/>
    <m/>
    <x v="0"/>
    <x v="9"/>
    <n v="0"/>
    <n v="2"/>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04 agricultural and veterinary sciences"/>
    <s v="fos"/>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01 natural sciences"/>
    <s v="fos"/>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0105 earth and related environmental sciences"/>
    <s v="fos"/>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2. zero hunger"/>
    <s v="sdg"/>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15. life on land"/>
    <s v="sdg"/>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0"/>
    <s v="0401 agriculture, forestry, and fisheries"/>
    <s v="fos"/>
    <s v=""/>
    <x v="0"/>
    <m/>
    <m/>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organic carbon"/>
    <s v="https://w3id.org/eusoilvoc#SoilOrganicCarbon"/>
    <b v="1"/>
    <n v="0.82130000000000003"/>
    <x v="1"/>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organic carbon loss"/>
    <s v="https://w3id.org/eusoilvoc#SOCLoss"/>
    <m/>
    <n v="0.73180000000000001"/>
    <x v="2"/>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depth rootable"/>
    <s v="https://w3id.org/eusoilvoc#SoilDepthRootable"/>
    <m/>
    <n v="0.59989999999999999"/>
    <x v="3"/>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root biomass"/>
    <s v="https://w3id.org/eusoilvoc#RootBiomass"/>
    <m/>
    <n v="0.59519999999999995"/>
    <x v="4"/>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inorganic carbon"/>
    <s v="https://w3id.org/eusoilvoc#SoilInorganicCarbon"/>
    <b v="1"/>
    <n v="0.3155"/>
    <x v="5"/>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depth rootable class"/>
    <s v="https://w3id.org/eusoilvoc#SoilDepthRootableClass"/>
    <m/>
    <n v="0.10100000000000001"/>
    <x v="6"/>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biological properties"/>
    <s v="https://w3id.org/eusoilvoc#SoilBiologicalProperties"/>
    <m/>
    <n v="7.4300000000000005E-2"/>
    <x v="7"/>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root growth"/>
    <s v="https://w3id.org/eusoilvoc#RootGrowth"/>
    <m/>
    <n v="7.3700000000000002E-2"/>
    <x v="8"/>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types"/>
    <s v="https://w3id.org/eusoilvoc#SoilTypes"/>
    <m/>
    <n v="5.8799999999999998E-2"/>
    <x v="9"/>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1"/>
    <m/>
    <m/>
    <s v=""/>
    <x v="0"/>
    <s v="soil organic component"/>
    <s v="https://w3id.org/eusoilvoc#SoilOrganicComponents"/>
    <m/>
    <n v="5.79E-2"/>
    <x v="1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soil organic carbon"/>
    <s v="https://w3id.org/eusoilvoc#SoilOrganicCarbon"/>
    <b v="1"/>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soil structure"/>
    <s v="https://w3id.org/eusoilvoc#SoilStructure"/>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soil tillage"/>
    <s v="https://w3id.org/eusoilvoc#SoilTillage"/>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soil"/>
    <s v="https://w3id.org/eusoilvoc#Soil"/>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root biomass"/>
    <s v="https://w3id.org/eusoilvoc#RootBiomass"/>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crop"/>
    <s v="https://w3id.org/eusoilvoc#Crop"/>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roots"/>
    <s v="https://w3id.org/eusoilvoc#Roots"/>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biomass"/>
    <s v="https://w3id.org/eusoilvoc#Biomass"/>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root"/>
    <s v="https://w3id.org/eusoilvoc#Roots"/>
    <m/>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2"/>
    <m/>
    <m/>
    <s v=""/>
    <x v="0"/>
    <s v="SOC"/>
    <s v="https://w3id.org/eusoilvoc#SoilOrganicCarbon"/>
    <b v="1"/>
    <m/>
    <x v="0"/>
    <x v="0"/>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root biomass"/>
    <s v="https://w3id.org/eusoilvoc#RootBiomass"/>
    <m/>
    <m/>
    <x v="0"/>
    <x v="1"/>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soil organic carbon"/>
    <s v="https://w3id.org/eusoilvoc#SoilOrganicCarbon"/>
    <m/>
    <m/>
    <x v="0"/>
    <x v="2"/>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soil structure"/>
    <s v="https://w3id.org/eusoilvoc#SoilStructure"/>
    <m/>
    <m/>
    <x v="0"/>
    <x v="3"/>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soil tillage"/>
    <s v="https://w3id.org/eusoilvoc#SoilTillage"/>
    <m/>
    <m/>
    <x v="0"/>
    <x v="4"/>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carbon pool"/>
    <s v="https://w3id.org/eusoilvoc#CarbonPools"/>
    <m/>
    <m/>
    <x v="0"/>
    <x v="17"/>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root"/>
    <s v="https://w3id.org/eusoilvoc#Roots"/>
    <m/>
    <m/>
    <x v="0"/>
    <x v="5"/>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biomass"/>
    <s v="https://w3id.org/eusoilvoc#Biomass"/>
    <m/>
    <m/>
    <x v="0"/>
    <x v="7"/>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root growth"/>
    <s v="https://w3id.org/eusoilvoc#RootGrowth"/>
    <m/>
    <m/>
    <x v="0"/>
    <x v="8"/>
    <n v="0"/>
    <n v="0"/>
  </r>
  <r>
    <s v="10.1111/ejss.13532"/>
    <s v="Role of cover crop roots in soil organic carbon accrual—A review"/>
    <s v="&lt;jats:title&gt;Abstract&lt;/jats:title&gt;                   &lt;jats:p&gt;Appropriate cover crop (CC) management is an important tool for the improvement of soil carbon stock; however, the relationships between carbon accumulation and CC root traits remain unclear. A literature review was performed to identify the extent and focus of recent research and to answer questions about the role of root traits of CCs in soil C accumulation with regard to species selection, mixture composition and agronomic management. The findings based on the analysis of 69 publications show that a range of root traits such as root biomass, architecture, depth of rooting, root chemical composition, as well as quantity and quality of rhizodeposition, can contribute to soil structure formation and C accumulation. These traits are usually species specific, and it seems that appropriate species combinations in the mixtures can offer the highest potential for optimization of C stock across various environments. However, there has been twice as much recent research on roots of CC monocultures than on mixtures, with little attention paid to agronomic aspects such as plant spatial arrangement or soil tillage in relation to CC root development. Considerations of real management under field conditions could be beneficial in providing greater accuracy of estimation of the contribution of CCs in increasing the SOC stock in croplands.&lt;/jats:p&gt;"/>
    <s v="en"/>
    <x v="3"/>
    <s v=""/>
    <s v=""/>
    <s v=""/>
    <x v="0"/>
    <s v="carbon storage capacity"/>
    <s v="https://w3id.org/eusoilvoc#CarbonStorageCapacity"/>
    <m/>
    <m/>
    <x v="0"/>
    <x v="9"/>
    <n v="0"/>
    <n v="0"/>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15. life on land"/>
    <s v="sdg"/>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models, biological"/>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03 medical and health sciences"/>
    <s v="fos"/>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plant roots"/>
    <s v="free_keyword"/>
    <s v="https://w3id.org/eusoilvoc#RootAbundance"/>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biological transport"/>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x‐ray computed tomography"/>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soil"/>
    <s v="free_keyword"/>
    <s v="https://w3id.org/eusoilvoc#Soil"/>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biological models"/>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0106 biological sciences"/>
    <s v="fos"/>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0301 basic medicine"/>
    <s v="fos"/>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01 natural sciences"/>
    <s v="fos"/>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6. clean water"/>
    <s v="sdg"/>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13. climate action"/>
    <s v="sdg"/>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580"/>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570"/>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oryza"/>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original articles"/>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0"/>
    <s v="carbon dioxide"/>
    <s v="free_keyword"/>
    <s v=""/>
    <x v="0"/>
    <m/>
    <m/>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sensitivity"/>
    <s v="https://w3id.org/eusoilvoc#SoilSensitivity"/>
    <m/>
    <n v="0.67490000000000006"/>
    <x v="1"/>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pH"/>
    <s v="https://w3id.org/eusoilvoc#SoilpH"/>
    <b v="1"/>
    <n v="0.5544"/>
    <x v="2"/>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carbon dioxide production"/>
    <s v="https://w3id.org/eusoilvoc#SoilCarbonDioxideProduction"/>
    <m/>
    <n v="0.29160000000000003"/>
    <x v="3"/>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chemical functions"/>
    <s v="https://w3id.org/eusoilvoc#SoilChemicalFunctions"/>
    <m/>
    <n v="0.17519999999999999"/>
    <x v="4"/>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structural change"/>
    <s v="https://w3id.org/eusoilvoc#SoilStructuralChange"/>
    <m/>
    <n v="0.1265"/>
    <x v="5"/>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aeration"/>
    <s v="https://w3id.org/eusoilvoc#SoilAeration"/>
    <m/>
    <n v="0.123"/>
    <x v="6"/>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channel"/>
    <s v="https://w3id.org/eusoilvoc#SoilChannel"/>
    <m/>
    <n v="0.1048"/>
    <x v="7"/>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environmental functions"/>
    <s v="https://w3id.org/eusoilvoc#SoilEnvironmentalFunctions"/>
    <m/>
    <n v="9.35E-2"/>
    <x v="8"/>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chemical capacity"/>
    <s v="https://w3id.org/eusoilvoc#SoilChemicalCapacity"/>
    <m/>
    <n v="9.3100000000000002E-2"/>
    <x v="9"/>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1"/>
    <m/>
    <m/>
    <s v=""/>
    <x v="0"/>
    <s v="soil absorption"/>
    <s v="https://w3id.org/eusoilvoc#SoilAbsorption"/>
    <m/>
    <n v="7.7899999999999997E-2"/>
    <x v="1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2"/>
    <m/>
    <m/>
    <s v=""/>
    <x v="0"/>
    <s v="soil"/>
    <s v="https://w3id.org/eusoilvoc#Soil"/>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2"/>
    <m/>
    <m/>
    <s v=""/>
    <x v="0"/>
    <s v="roots"/>
    <s v="https://w3id.org/eusoilvoc#Roots"/>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2"/>
    <m/>
    <m/>
    <s v=""/>
    <x v="0"/>
    <s v="root"/>
    <s v="https://w3id.org/eusoilvoc#Roots"/>
    <m/>
    <m/>
    <x v="0"/>
    <x v="0"/>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aeration"/>
    <s v="https://w3id.org/eusoilvoc#SoilAeration"/>
    <m/>
    <m/>
    <x v="0"/>
    <x v="1"/>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root respiration"/>
    <s v="https://w3id.org/eusoilvoc#RootRespiration"/>
    <m/>
    <m/>
    <x v="0"/>
    <x v="2"/>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pore continuity"/>
    <s v="https://w3id.org/eusoilvoc#SoilPoreContinuity"/>
    <m/>
    <m/>
    <x v="0"/>
    <x v="3"/>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pH"/>
    <s v="https://w3id.org/eusoilvoc#SoilpH"/>
    <m/>
    <m/>
    <x v="0"/>
    <x v="4"/>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nutrient availability"/>
    <s v="https://w3id.org/eusoilvoc#SoilNutrientAvailability"/>
    <m/>
    <m/>
    <x v="0"/>
    <x v="17"/>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gaseous exchange"/>
    <s v="https://w3id.org/eusoilvoc#SoilGaseousExchange"/>
    <m/>
    <m/>
    <x v="0"/>
    <x v="5"/>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air diffusion"/>
    <s v="https://w3id.org/eusoilvoc#SoilAirDiffusion"/>
    <m/>
    <m/>
    <x v="0"/>
    <x v="6"/>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root growth"/>
    <s v="https://w3id.org/eusoilvoc#RootGrowth"/>
    <m/>
    <m/>
    <x v="0"/>
    <x v="7"/>
    <n v="0"/>
    <n v="2"/>
  </r>
  <r>
    <s v="10.1111/pce.13638"/>
    <s v="Soil carbon dioxide venting through rice roots"/>
    <s v="&lt;jats:title&gt;Abstract&lt;/jats:title&gt;&lt;jats:p&gt;The growth of rice in submerged soils depends on its ability to form continuous gas channels—aerenchyma—through which oxygen (O&lt;jats:sub&gt;2&lt;/jats:sub&gt;) diffuses from the shoots to aerate the roots. Less well understood is the extent to which aerenchyma permits venting of respiratory carbon dioxide (CO&lt;jats:sub&gt;2&lt;/jats:sub&gt;) in the opposite direction. Large, potentially toxic concentrations of dissolved CO&lt;jats:sub&gt;2&lt;/jats:sub&gt; develop in submerged rice soils. We show using X‐ray computed tomography and image‐based mathematical modelling that CO&lt;jats:sub&gt;2&lt;/jats:sub&gt; venting through rice roots is far greater than thought hitherto. We found rates of venting equivalent to a third of the daily CO&lt;jats:sub&gt;2&lt;/jats:sub&gt; fixation in photosynthesis. Without this venting through the roots, the concentrations of CO&lt;jats:sub&gt;2&lt;/jats:sub&gt; and associated bicarbonate (HCO&lt;jats:sub&gt;3&lt;/jats:sub&gt;&lt;jats:sup&gt;−&lt;/jats:sup&gt;) in root cells would have been well above levels known to be toxic to roots. Removal of CO&lt;jats:sub&gt;2&lt;/jats:sub&gt; and hence carbonic acid (H&lt;jats:sub&gt;2&lt;/jats:sub&gt;CO&lt;jats:sub&gt;3&lt;/jats:sub&gt;) from the soil was sufficient to increase the pH in the rhizosphere close to the roots by 0.7 units, which is sufficient to solubilize or immobilize various nutrients and toxicants. A sensitivity analysis of the model showed that such changes are expected for a wide range of plant and soil conditions.&lt;/jats:p&gt;"/>
    <s v="en"/>
    <x v="3"/>
    <s v=""/>
    <s v=""/>
    <s v=""/>
    <x v="0"/>
    <s v="soil biopore"/>
    <s v="https://w3id.org/eusoilvoc#SoilBiopore"/>
    <m/>
    <m/>
    <x v="0"/>
    <x v="8"/>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anti-infective agent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tropical diseas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neglected topical diseas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bedaquil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veterinary medic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mmun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610"/>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drug development"/>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nfectious and parasitic diseas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rc109-216"/>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review"/>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613"/>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fos: health sciences"/>
    <s v="free_keyword"/>
    <s v="https://w3id.org/eusoilvoc#Phosphorus"/>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pharmaceutical techn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onchocerciasi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moxidectin"/>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flubentylosin"/>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global impact of helminth infections and control strategi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ecological interactions of parasites in ecosystem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acoziborol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tropical medic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trypanosomiasi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health scienc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path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animal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diseas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african trypanosomiasi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emodepsid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bi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nternal medic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parasitic diseases and treatment strategi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neglected tropical diseas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mmunology and microbi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vermectin"/>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ec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fos: clinical medic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life scienc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malaria"/>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trypanosomiasis, african"/>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infectious diseas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fos: biological scienc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environmental scienc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physical sciences"/>
    <s v="free_keyword"/>
    <s v="https://w3id.org/eusoilvoc#Physiography"/>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medicine"/>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parasitology"/>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macrolides"/>
    <s v="free_keyword"/>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3. good health"/>
    <s v="sdg"/>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03 medical and health sciences"/>
    <s v="fos"/>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0"/>
    <s v="0303 health sciences"/>
    <s v="fos"/>
    <s v=""/>
    <x v="0"/>
    <m/>
    <m/>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1"/>
    <m/>
    <m/>
    <s v=""/>
    <x v="0"/>
    <s v="molybdenum"/>
    <s v="https://w3id.org/eusoilvoc#Molybdenum"/>
    <m/>
    <n v="0.22189999999999999"/>
    <x v="1"/>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1"/>
    <m/>
    <m/>
    <s v=""/>
    <x v="0"/>
    <s v="microorganisms"/>
    <s v="https://w3id.org/eusoilvoc#Microbes"/>
    <m/>
    <n v="0.13569999999999999"/>
    <x v="2"/>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1"/>
    <m/>
    <m/>
    <s v=""/>
    <x v="0"/>
    <s v="microorganisms"/>
    <s v="https://w3id.org/eusoilvoc#Microorganisms"/>
    <m/>
    <n v="0.13569999999999999"/>
    <x v="3"/>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1"/>
    <m/>
    <m/>
    <s v=""/>
    <x v="0"/>
    <s v="labile solute"/>
    <s v="https://w3id.org/eusoilvoc#LabileSolutes"/>
    <m/>
    <n v="6.6799999999999998E-2"/>
    <x v="4"/>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2"/>
    <m/>
    <m/>
    <s v=""/>
    <x v="0"/>
    <s v="road"/>
    <s v="https://w3id.org/eusoilvoc#Road"/>
    <m/>
    <m/>
    <x v="0"/>
    <x v="0"/>
    <n v="0"/>
    <n v="2"/>
  </r>
  <r>
    <s v="10.1186/s13071-022-05581-4"/>
    <s v="The pipeline for drugs for control and elimination of neglected tropical diseases: 1. Anti-infective drugs for regulatory registration"/>
    <s v="&lt;jats:title&gt;Abstract&lt;/jats:title&gt;&lt;jats:p&gt;The World Health Organization ‘Ending the neglect to attain the Sustainable Development Goals: A road map for neglected tropical diseases 2021–2030’ outlines the targets for control and elimination of neglected tropical diseases (NTDs). New drugs are needed to achieve some of them. We are providing an overview of the pipeline for new anti-infective drugs for regulatory registration and steps to effective use for NTD control and elimination. Considering drugs approved for an NTD by at least one stringent regulatory authority: fexinidazole, included in WHO guidelines for &lt;jats:italic&gt;Trypanosoma brucei gambiense&lt;/jats:italic&gt; African trypanosomiasis, is in development for Chagas disease. Moxidectin, registered in 2018 for treatment of individuals ≥ 12 years old with onchocerciasis, is undergoing studies to extend the indication to 4–11-year-old children and obtain additional data to inform WHO and endemic countries' decisions on moxidectin inclusion in guidelines and policies. Moxidectin is also being evaluated for other NTDs. Considering drugs in at least Phase 2 clinical development, a submission is being prepared for registration of acoziborole as an oral treatment for first and second stage &lt;jats:italic&gt;T.b. gambiense&lt;/jats:italic&gt; African trypanosomiasis. Bedaquiline, registered for tuberculosis, is being evaluated for multibacillary leprosy. Phase 2 studies of emodepside and flubentylosin in &lt;jats:italic&gt;O. volvulus&lt;/jats:italic&gt;-infected individuals are ongoing; studies for &lt;jats:italic&gt;Trichuris trichuria&lt;/jats:italic&gt; and hookworm are planned. A trial of fosravuconazole in &lt;jats:italic&gt;Madurella mycetomatis&lt;/jats:italic&gt;-infected patients is ongoing. JNJ-64281802 is undergoing Phase 2 trials for reducing dengue viral load. Studies are ongoing or planned to evaluate oxantel pamoate for onchocerciasis and soil-transmitted helminths, including &lt;jats:italic&gt;Trichuris&lt;/jats:italic&gt;, and oxfendazole for onchocerciasis, &lt;jats:italic&gt;Fasciola hepatica&lt;/jats:italic&gt;, &lt;jats:italic&gt;Taenia solium&lt;/jats:italic&gt; cysticercosis, &lt;jats:italic&gt;Echinococcus granulosus&lt;/jats:italic&gt; and soil-transmitted helminths, including &lt;jats:italic&gt;Trichuris&lt;/jats:italic&gt;. Additional steps from first registration to effective use for NTD control and elimination include country registrations, possibly additional studies to inform WHO guidelines and country policies, and implementation research to address barriers to effective use of new drugs. Relative to the number of people suffering from NTDs, the pipeline is small. Close collaboration and exchange of experience among all stakeholders developing drugs for NTDs may increase the probability that the current pipeline will translate into new drugs effectively implemented in affected countries.&lt;/jats:p&gt;                 &lt;jats:p&gt;&lt;jats:bold&gt;Graphical Abstract&lt;/jats:bold&gt;&lt;/jats:p&gt;"/>
    <s v="en"/>
    <x v="2"/>
    <m/>
    <m/>
    <s v=""/>
    <x v="0"/>
    <s v="soil"/>
    <s v="https://w3id.org/eusoilvoc#Soil"/>
    <m/>
    <m/>
    <x v="0"/>
    <x v="0"/>
    <n v="0"/>
    <n v="2"/>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 no poverty"/>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0211 other engineering and technologies"/>
    <s v="fos"/>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0507 social and economic geography"/>
    <s v="fos"/>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2. zero hunger"/>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05 social sciences"/>
    <s v="fos"/>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bikaner"/>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ignp canal"/>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sufi mysticism"/>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02 engineering and technology"/>
    <s v="fos"/>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5. life on land"/>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6. peace &amp; justice"/>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pastoral resilience"/>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animal culture"/>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1. sustainability"/>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3. climate action"/>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12. responsible consumption"/>
    <s v="sdg"/>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0"/>
    <s v="sf1-1100"/>
    <s v="free_keyword"/>
    <s v=""/>
    <x v="0"/>
    <m/>
    <m/>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1"/>
    <m/>
    <m/>
    <s v=""/>
    <x v="3"/>
    <s v="soil moisture deficit"/>
    <s v="https://w3id.org/eusoilvoc#SoilMoistureDeficit"/>
    <m/>
    <n v="0.11899999999999999"/>
    <x v="1"/>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1"/>
    <m/>
    <m/>
    <s v=""/>
    <x v="3"/>
    <s v="soil channel"/>
    <s v="https://w3id.org/eusoilvoc#SoilChannel"/>
    <m/>
    <n v="6.3200000000000006E-2"/>
    <x v="2"/>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2"/>
    <m/>
    <m/>
    <s v=""/>
    <x v="2"/>
    <s v="irrigation"/>
    <s v="https://w3id.org/eusoilvoc#Irrigation"/>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2"/>
    <m/>
    <m/>
    <s v=""/>
    <x v="2"/>
    <s v="inundation"/>
    <s v="https://w3id.org/eusoilvoc#Inundation"/>
    <m/>
    <m/>
    <x v="0"/>
    <x v="0"/>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2"/>
    <s v="irrigation"/>
    <s v="https://w3id.org/eusoilvoc#Irrigation"/>
    <m/>
    <m/>
    <x v="0"/>
    <x v="1"/>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2"/>
    <s v="arable land development"/>
    <s v="https://w3id.org/eusoilvoc#LandUse"/>
    <m/>
    <m/>
    <x v="0"/>
    <x v="2"/>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2"/>
    <s v="agricultural sustainability"/>
    <s v="https://w3id.org/eusoilvoc#AgriculturalSustainability"/>
    <m/>
    <m/>
    <x v="0"/>
    <x v="3"/>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ecosystem services"/>
    <s v="https://w3id.org/eusoilvoc#EcosystemServices"/>
    <m/>
    <m/>
    <x v="0"/>
    <x v="4"/>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soil desertification"/>
    <s v="https://w3id.org/eusoilvoc#SoilDesertification"/>
    <m/>
    <m/>
    <x v="0"/>
    <x v="5"/>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climatic effects"/>
    <s v="https://w3id.org/eusoilvoc#Climate"/>
    <m/>
    <m/>
    <x v="0"/>
    <x v="6"/>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water regulation"/>
    <s v="https://w3id.org/eusoilvoc#WaterRegulation"/>
    <m/>
    <m/>
    <x v="0"/>
    <x v="7"/>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land use class"/>
    <s v="https://w3id.org/eusoilvoc#LandUseClass"/>
    <m/>
    <m/>
    <x v="0"/>
    <x v="8"/>
    <n v="13"/>
    <n v="0"/>
  </r>
  <r>
    <s v="10.1186/s13570-020-00190-1"/>
    <s v="Understanding ‘culture’ of pastoralism and ‘modern development’ in Thar: Muslim pastoralists of north-west Rajasthan, India"/>
    <s v="&lt;jats:title&gt;Abstract&lt;/jats:title&gt;&lt;jats:p&gt;The paper attempts to understand the relation between pastoral cultures and irrigation-based intensive farming regimes promoted by modern development represented by the Indira Gandhi Canal (IGNP) in western Rajasthan. Participant observation and development practice engagement with pastoral communities over the past three decades give an opportunity to reflect on epistemic rationality that constitutes the discourse of modern development, formal statecraft of technocracy, and rule by experts. Historical markers of pastoralism in the interconnected regions of north-west Rajasthan and bordering regions of Multan and Bahawalpur in Pakistan are situated to trace the&lt;jats:italic&gt;longuee duree&lt;/jats:italic&gt;of pastoral life systems in the Thar desert region. This oscillation between enhanced moisture regimes following inundation and increased desiccation of a moisture-deficient arid region has been at the core of sustaining the culture of pastoralism among semi-nomadic pastoralists of Muslim communities in north-west Rajasthan. The IGNP canal produces a space for modern development that opens up irrigated farming and an intensive natural resource use regime. This political economy of the IGNP canal systematically marginalizes pastoral natural resource use that was ecologically embedded. The varied experiences of adaptation responses by pastoral communities to this state-led marginalization points to the tenacious ability of pastoralism to continually adapt to the radically changing ecology. The paper argues for a complementarity of pastoral and farming use as an inclusive development vision. Beginnings can be made by a compassionate engagement with cultures of pastoralism that are endowed with resilience rooted in a historically constituted rationality to adapt and innovate with changing times. This may hold cues for a sustainable future of Thar.&lt;/jats:p&gt;"/>
    <s v="en"/>
    <x v="3"/>
    <s v=""/>
    <s v=""/>
    <s v=""/>
    <x v="3"/>
    <s v="salinisation"/>
    <s v="https://w3id.org/eusoilvoc#Salinisation"/>
    <m/>
    <m/>
    <x v="0"/>
    <x v="9"/>
    <n v="13"/>
    <n v="0"/>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0401 agriculture, forestry, and fisheries"/>
    <s v="fos"/>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water balance"/>
    <s v="free_keyword"/>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catchment hydrology"/>
    <s v="free_keyword"/>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soil moisture"/>
    <s v="free_keyword"/>
    <s v="https://w3id.org/eusoilvoc#SoilMoisture"/>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remote sensing"/>
    <s v="free_keyword"/>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agriculture"/>
    <s v="free_keyword"/>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s"/>
    <s v="free_keyword"/>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6. clean water"/>
    <s v="sdg"/>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15. life on land"/>
    <s v="sdg"/>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2. zero hunger"/>
    <s v="sdg"/>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02 engineering and technology"/>
    <s v="fos"/>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04 agricultural and veterinary sciences"/>
    <s v="fos"/>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0"/>
    <s v="0207 environmental engineering"/>
    <s v="fos"/>
    <s v=""/>
    <x v="0"/>
    <m/>
    <m/>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water storage"/>
    <s v="https://w3id.org/eusoilvoc#SoilWaterStorage"/>
    <m/>
    <n v="0.85450000000000004"/>
    <x v="1"/>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water transmission index"/>
    <s v="https://w3id.org/eusoilvoc#SoilWaterTransmissionIndex"/>
    <m/>
    <n v="0.80220000000000002"/>
    <x v="2"/>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water evapouration"/>
    <s v="https://w3id.org/eusoilvoc#SoilWaterEvapouration"/>
    <m/>
    <n v="0.67079999999999995"/>
    <x v="3"/>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indicators"/>
    <s v="https://w3id.org/eusoilvoc#SoilIndicators"/>
    <m/>
    <n v="0.56389999999999996"/>
    <x v="4"/>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water retention index"/>
    <s v="https://w3id.org/eusoilvoc#SoilWaterRetentionIndex"/>
    <m/>
    <n v="0.47399999999999998"/>
    <x v="5"/>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water retention"/>
    <s v="https://w3id.org/eusoilvoc#SoilWaterRetention"/>
    <m/>
    <n v="0.22420000000000001"/>
    <x v="6"/>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function indicators"/>
    <s v="https://w3id.org/eusoilvoc#SoilFunctionIndicators"/>
    <m/>
    <n v="9.2200000000000004E-2"/>
    <x v="7"/>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1"/>
    <m/>
    <m/>
    <s v=""/>
    <x v="0"/>
    <s v="soil aggregation index"/>
    <s v="https://w3id.org/eusoilvoc#SoilAggregationIndex"/>
    <m/>
    <n v="6.4299999999999996E-2"/>
    <x v="8"/>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soil water storage"/>
    <s v="https://w3id.org/eusoilvoc#SoilWaterStorage"/>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soil water"/>
    <s v="https://w3id.org/eusoilvoc#SoilWater"/>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vegetation"/>
    <s v="https://w3id.org/eusoilvoc#Vegetation"/>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soil"/>
    <s v="https://w3id.org/eusoilvoc#Soil"/>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evapotranspiration"/>
    <s v="https://w3id.org/eusoilvoc#Evapotranspiration"/>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crop"/>
    <s v="https://w3id.org/eusoilvoc#Crop"/>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2"/>
    <m/>
    <m/>
    <s v=""/>
    <x v="0"/>
    <s v="season"/>
    <s v="https://w3id.org/eusoilvoc#Season"/>
    <m/>
    <m/>
    <x v="0"/>
    <x v="0"/>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evapotranspiration"/>
    <s v="https://w3id.org/eusoilvoc#Evapotranspiration"/>
    <m/>
    <m/>
    <x v="0"/>
    <x v="1"/>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soil water storage"/>
    <s v="https://w3id.org/eusoilvoc#SoilWaterStorage"/>
    <m/>
    <m/>
    <x v="0"/>
    <x v="2"/>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vegetation"/>
    <s v="https://w3id.org/eusoilvoc#Vegetation"/>
    <m/>
    <m/>
    <x v="0"/>
    <x v="3"/>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season"/>
    <s v="https://w3id.org/eusoilvoc#Season"/>
    <m/>
    <m/>
    <x v="0"/>
    <x v="4"/>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crop"/>
    <s v="https://w3id.org/eusoilvoc#Crop"/>
    <m/>
    <m/>
    <x v="0"/>
    <x v="17"/>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land use"/>
    <s v="https://w3id.org/eusoilvoc#LandUse"/>
    <m/>
    <m/>
    <x v="0"/>
    <x v="5"/>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soil water table depth"/>
    <s v="https://w3id.org/eusoilvoc#SoilWaterTableDepth"/>
    <m/>
    <m/>
    <x v="0"/>
    <x v="6"/>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groundwater depth"/>
    <s v="https://w3id.org/eusoilvoc#GroundwaterDepth"/>
    <m/>
    <m/>
    <x v="0"/>
    <x v="7"/>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interflow"/>
    <s v="https://w3id.org/eusoilvoc#Interflow"/>
    <m/>
    <m/>
    <x v="0"/>
    <x v="8"/>
    <n v="0"/>
    <n v="1"/>
  </r>
  <r>
    <s v="10.17221/60/2023-swr"/>
    <s v="Seasonal variations of vegetative indices and their correlation with evapotranspiration and soil water storage in a small agricultural catchment"/>
    <s v="A precise measurement of evapotranspiration (ET) and soil water storage (SWS) is necessary for crop management and understanding hydrological processes in agricultural catchments. In this study, we extracted the vegetative indices (VIs, including normalised difference vegetation index (NDVI), soil-adjusted vegetation index (SAVI), and enhanced vegetation index (EVI)) from satellite images of the Nučice catchment. We found a consistent seasonal pattern of VIs across the catchment with higher values and variation ranges during spring and summer and lower values and variation ranges during autumn and winter. Spatial variation of VIs also followed a seasonal trend, decreasing during crop growth and increasing after crop harvesting. Seasonal correlations were observed between monthly average ET and SWS with VIs throughout one crop season, which can be expressed mathematically as exponential functions. We propose that VIs can be used as a surrogate measure for ET and SWS in catchments with poor monitoring capabilities. Further studies are required to investigate the spatial distribution of ET and SWS throughout the watershed and their relationship with VIs. Furthermore, our research emphasises the importance of subsurface recharge in the water balance of the investigated fields. It suggests that subsurface flow may be influenced by potential gradients of the water table, driving its seasonal behaviour in response to bedrock morphology."/>
    <s v="en"/>
    <x v="3"/>
    <s v=""/>
    <s v=""/>
    <s v=""/>
    <x v="0"/>
    <s v="water storage capacity"/>
    <s v="https://w3id.org/eusoilvoc#WaterStorageCapacity"/>
    <m/>
    <m/>
    <x v="0"/>
    <x v="9"/>
    <n v="0"/>
    <n v="1"/>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ploughing depth"/>
    <s v="agrovoc"/>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tillage"/>
    <s v="agrovoc"/>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soil"/>
    <s v="agrovoc"/>
    <s v="https://w3id.org/eusoilvoc#Soil"/>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adenstedt"/>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sibbesse"/>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lower saxony"/>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germany"/>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boden"/>
    <s v="gemet"/>
    <s v="https://w3id.org/eusoilvoc#Soil"/>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reduced tillage"/>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opendata"/>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hildesheim"/>
    <s v="other"/>
    <s v=""/>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subsoil"/>
    <s v="agrovoc"/>
    <s v="https://w3id.org/eusoilvoc#SoilSubsidence"/>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soil chemicophysical properties"/>
    <s v="agrovoc"/>
    <s v="https://w3id.org/eusoilvoc#SoilPhysicalProperties"/>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0"/>
    <s v="soil mechanical properties"/>
    <s v="agrovoc"/>
    <s v="https://w3id.org/eusoilvoc#SoilProperties"/>
    <x v="0"/>
    <m/>
    <m/>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depth sampled"/>
    <s v="https://w3id.org/eusoilvoc#SoilDepthSampled"/>
    <m/>
    <n v="0.88880000000000003"/>
    <x v="1"/>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compaction"/>
    <s v="https://w3id.org/eusoilvoc#SoilCompaction"/>
    <m/>
    <n v="0.86"/>
    <x v="2"/>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depth"/>
    <s v="https://w3id.org/eusoilvoc#SoilDepth"/>
    <m/>
    <n v="0.67610000000000003"/>
    <x v="3"/>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process"/>
    <s v="https://w3id.org/eusoilvoc#SoilProcesses"/>
    <m/>
    <n v="0.55069999999999997"/>
    <x v="4"/>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type"/>
    <s v="https://w3id.org/eusoilvoc#SoilTypes"/>
    <m/>
    <n v="0.50480000000000003"/>
    <x v="5"/>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compactability"/>
    <s v="https://w3id.org/eusoilvoc#SoilCompactability"/>
    <m/>
    <n v="0.44650000000000001"/>
    <x v="6"/>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total porosity"/>
    <s v="https://w3id.org/eusoilvoc#TotalPorosity"/>
    <m/>
    <n v="0.41349999999999998"/>
    <x v="7"/>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formation"/>
    <s v="https://w3id.org/eusoilvoc#SoilFormation"/>
    <m/>
    <n v="0.20499999999999999"/>
    <x v="8"/>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physical process"/>
    <s v="https://w3id.org/eusoilvoc#SoilPhysicalProcesses"/>
    <m/>
    <n v="0.1996"/>
    <x v="9"/>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movement"/>
    <s v="https://w3id.org/eusoilvoc#SoilMovement"/>
    <m/>
    <n v="0.19550000000000001"/>
    <x v="1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phenomenon"/>
    <s v="https://w3id.org/eusoilvoc#SoilPhenomena"/>
    <m/>
    <n v="0.10780000000000001"/>
    <x v="11"/>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density"/>
    <s v="https://w3id.org/eusoilvoc#SoilDensity"/>
    <m/>
    <n v="0.105"/>
    <x v="12"/>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1"/>
    <m/>
    <m/>
    <s v=""/>
    <x v="0"/>
    <s v="soil crust density"/>
    <s v="https://w3id.org/eusoilvoc#SoilCrustDensity"/>
    <m/>
    <n v="6.2100000000000002E-2"/>
    <x v="13"/>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soil compaction"/>
    <s v="https://w3id.org/eusoilvoc#SoilCompaction"/>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soil deformation"/>
    <s v="https://w3id.org/eusoilvoc#SoilDeformation"/>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soil"/>
    <s v="https://w3id.org/eusoilvoc#Soil"/>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hydraulic conductivity"/>
    <s v="https://w3id.org/eusoilvoc#SoilHydraulicConductivity"/>
    <b v="1"/>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saturated hydraulic conductivity"/>
    <s v="https://w3id.org/eusoilvoc#SaturatedHydraulicConductivity"/>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total porosity"/>
    <s v="https://w3id.org/eusoilvoc#TotalPorosity"/>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2"/>
    <m/>
    <m/>
    <s v=""/>
    <x v="0"/>
    <s v="permanent wilting point"/>
    <s v="https://w3id.org/eusoilvoc#PermanentWiltingPoint"/>
    <m/>
    <m/>
    <x v="0"/>
    <x v="0"/>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soil compaction"/>
    <s v="https://w3id.org/eusoilvoc#SoilCompaction"/>
    <m/>
    <m/>
    <x v="0"/>
    <x v="1"/>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soil deformation"/>
    <s v="https://w3id.org/eusoilvoc#SoilDeformation"/>
    <m/>
    <m/>
    <x v="0"/>
    <x v="2"/>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bulk density (soil)"/>
    <s v="https://w3id.org/eusoilvoc#SoilDensity"/>
    <m/>
    <m/>
    <x v="0"/>
    <x v="3"/>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saturated hydraulic conductivity"/>
    <s v="https://w3id.org/eusoilvoc#SaturatedHydraulicConductivity"/>
    <m/>
    <m/>
    <x v="0"/>
    <x v="4"/>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total porosity"/>
    <s v="https://w3id.org/eusoilvoc#TotalPorosity"/>
    <m/>
    <m/>
    <x v="0"/>
    <x v="17"/>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permanent wilting point"/>
    <s v="https://w3id.org/eusoilvoc#PermanentWiltingPoint"/>
    <m/>
    <m/>
    <x v="0"/>
    <x v="7"/>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soil biopore"/>
    <s v="https://w3id.org/eusoilvoc#SoilBiopore"/>
    <m/>
    <m/>
    <x v="0"/>
    <x v="8"/>
    <n v="0"/>
    <n v="5"/>
  </r>
  <r>
    <s v="10.20387/bonares-5bqk-c919"/>
    <s v="Soil Compaction, Deformation, and Changes in Soil Physical Parameters Caused by Digestate Application on a Loess-Luvisol in 2019"/>
    <s v="This dataset contains soil data from a traffic experiment for digestate application using four different agricultural vehicle combinations (tractor with tandem slurry tank, approx. 25.1 t; tractor with tridem slurry tank, approx. 50.1 t; Self-propelled slurry tank, approx. 41.2 t; tractor with umbilical cord technique, approx. 12.9 t). The experiment took place in the spring of 2019. The soil is a stagnic Luvisol. The vehicle combinations drove successively over defined plots. The experiments were conducted only in the inner field. Before the traffic, two pits were dug, and after the traffic, two pits were dug per variant. The following measurements were conducted at depths of 20, 35, and 50 cm in each pit: _x000a_•_x0009_Soil pressure and plastic soil deformation _x000a_•_x0009_Water retention properties, bulk density, and saturated hydraulic conductivity (Ks) (100 cm³ core samples; 5 replicates per pit and depth (for Ks 5 to 8)). Derived from these were total porosity, air capacity, field capacity, permanent wilting point, and dry bulk density _x000a_•_x0009_Biopores were counted in each pit and depth&quot;"/>
    <s v="en"/>
    <x v="3"/>
    <s v=""/>
    <s v=""/>
    <s v=""/>
    <x v="0"/>
    <s v="soil water retention"/>
    <s v="https://w3id.org/eusoilvoc#SoilWaterRetention"/>
    <m/>
    <m/>
    <x v="0"/>
    <x v="9"/>
    <n v="0"/>
    <n v="5"/>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1"/>
    <m/>
    <m/>
    <s v=""/>
    <x v="0"/>
    <s v="soil carbon dioxide production"/>
    <s v="https://w3id.org/eusoilvoc#SoilCarbonDioxideProduction"/>
    <m/>
    <n v="0.23380000000000001"/>
    <x v="1"/>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1"/>
    <m/>
    <m/>
    <s v=""/>
    <x v="0"/>
    <s v="soil organic carbon loss"/>
    <s v="https://w3id.org/eusoilvoc#SOCLoss"/>
    <m/>
    <n v="0.20330000000000001"/>
    <x v="2"/>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1"/>
    <m/>
    <m/>
    <s v=""/>
    <x v="0"/>
    <s v="soil organic carbon"/>
    <s v="https://w3id.org/eusoilvoc#SoilOrganicCarbon"/>
    <b v="1"/>
    <n v="0.13020000000000001"/>
    <x v="3"/>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1"/>
    <m/>
    <m/>
    <s v=""/>
    <x v="0"/>
    <s v="soil total carbon"/>
    <s v="https://w3id.org/eusoilvoc#SoilTotalCarbon"/>
    <b v="1"/>
    <n v="5.7000000000000002E-2"/>
    <x v="4"/>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2"/>
    <m/>
    <m/>
    <s v=""/>
    <x v="0"/>
    <s v="soil"/>
    <s v="https://w3id.org/eusoilvoc#Soil"/>
    <m/>
    <m/>
    <x v="0"/>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2"/>
    <m/>
    <m/>
    <s v=""/>
    <x v="0"/>
    <s v="building"/>
    <s v="https://w3id.org/eusoilvoc#Building"/>
    <m/>
    <m/>
    <x v="0"/>
    <x v="0"/>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organic carbon"/>
    <s v="https://w3id.org/eusoilvoc#SoilOrganicCarbon"/>
    <m/>
    <m/>
    <x v="0"/>
    <x v="1"/>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organic matter"/>
    <s v="https://w3id.org/eusoilvoc#SoilOrganicMatter"/>
    <m/>
    <m/>
    <x v="0"/>
    <x v="2"/>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organic matter content"/>
    <s v="https://w3id.org/eusoilvoc#SoilOrganicMatterContents"/>
    <m/>
    <m/>
    <x v="0"/>
    <x v="3"/>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carbon pool"/>
    <s v="https://w3id.org/eusoilvoc#CarbonPools"/>
    <m/>
    <m/>
    <x v="0"/>
    <x v="4"/>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land use"/>
    <s v="https://w3id.org/eusoilvoc#LandUse"/>
    <m/>
    <m/>
    <x v="0"/>
    <x v="17"/>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management"/>
    <s v="https://w3id.org/eusoilvoc#SoilManagement"/>
    <m/>
    <m/>
    <x v="0"/>
    <x v="5"/>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ecosystem services"/>
    <s v="https://w3id.org/eusoilvoc#EcosystemServices"/>
    <m/>
    <m/>
    <x v="0"/>
    <x v="6"/>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climate regulation"/>
    <s v="https://w3id.org/eusoilvoc#ClimateRegulation"/>
    <m/>
    <m/>
    <x v="0"/>
    <x v="7"/>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conservation tillage"/>
    <s v="https://w3id.org/eusoilvoc#ConservationTillage"/>
    <m/>
    <m/>
    <x v="0"/>
    <x v="8"/>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health"/>
    <s v="https://w3id.org/eusoilvoc#SoilHealth"/>
    <m/>
    <m/>
    <x v="0"/>
    <x v="9"/>
    <n v="0"/>
    <n v="0"/>
  </r>
  <r>
    <s v="10.3030/101112951"/>
    <s v="Building momentum and trust to achieve credible soil carbon farming in the EU"/>
    <s v="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
    <s v="en"/>
    <x v="3"/>
    <s v=""/>
    <s v=""/>
    <s v=""/>
    <x v="0"/>
    <s v="soil health"/>
    <s v="https://w3id.org/eusoilvoc#SoilQuality"/>
    <m/>
    <m/>
    <x v="0"/>
    <x v="9"/>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agricultural functions"/>
    <s v="https://w3id.org/eusoilvoc#SoilAgriculturalFunctions"/>
    <m/>
    <n v="0.99970000000000003"/>
    <x v="1"/>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functions"/>
    <s v="https://w3id.org/eusoilvoc#SoilFunctions"/>
    <m/>
    <n v="0.99850000000000005"/>
    <x v="2"/>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environmental functions"/>
    <s v="https://w3id.org/eusoilvoc#SoilEnvironmentalFunctions"/>
    <m/>
    <n v="0.99480000000000002"/>
    <x v="3"/>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management"/>
    <s v="https://w3id.org/eusoilvoc#SoilManagement"/>
    <m/>
    <n v="0.9819"/>
    <x v="4"/>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engineering functions"/>
    <s v="https://w3id.org/eusoilvoc#SoilEngineeringFunctions"/>
    <m/>
    <n v="0.91390000000000005"/>
    <x v="5"/>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physical functions"/>
    <s v="https://w3id.org/eusoilvoc#SoilPhysicalFunctions"/>
    <m/>
    <n v="0.87"/>
    <x v="6"/>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function indicators"/>
    <s v="https://w3id.org/eusoilvoc#SoilFunctionIndicators"/>
    <m/>
    <n v="0.79859999999999998"/>
    <x v="7"/>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land cover"/>
    <s v="https://w3id.org/eusoilvoc#LandCover"/>
    <m/>
    <n v="0.79400000000000004"/>
    <x v="8"/>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indicators"/>
    <s v="https://w3id.org/eusoilvoc#SoilIndicators"/>
    <m/>
    <n v="0.63319999999999999"/>
    <x v="9"/>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land development (agriculture)"/>
    <s v="https://w3id.org/eusoilvoc#LandUse"/>
    <m/>
    <n v="0.56289999999999996"/>
    <x v="1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classification"/>
    <s v="https://w3id.org/eusoilvoc#SoilClassification"/>
    <m/>
    <n v="0.38040000000000002"/>
    <x v="11"/>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water purification"/>
    <s v="https://w3id.org/eusoilvoc#WaterPurification"/>
    <m/>
    <n v="0.2712"/>
    <x v="12"/>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major land form"/>
    <s v="https://w3id.org/eusoilvoc#MajorLandForms"/>
    <m/>
    <n v="0.2114"/>
    <x v="13"/>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solution"/>
    <s v="https://w3id.org/eusoilvoc#SoilSolution"/>
    <m/>
    <n v="0.1048"/>
    <x v="14"/>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soil property"/>
    <s v="https://w3id.org/eusoilvoc#SoilProperties"/>
    <m/>
    <n v="9.8799999999999999E-2"/>
    <x v="15"/>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1"/>
    <m/>
    <m/>
    <s v=""/>
    <x v="0"/>
    <s v="land use class"/>
    <s v="https://w3id.org/eusoilvoc#LandUseClass"/>
    <m/>
    <n v="7.6300000000000007E-2"/>
    <x v="16"/>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soil management"/>
    <s v="https://w3id.org/eusoilvoc#SoilManagement"/>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soil functions"/>
    <s v="https://w3id.org/eusoilvoc#SoilFunctions"/>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soil types"/>
    <s v="https://w3id.org/eusoilvoc#SoilTypes"/>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soil"/>
    <s v="https://w3id.org/eusoilvoc#Soil"/>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ecosystem services"/>
    <s v="https://w3id.org/eusoilvoc#EcosystemServices"/>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habitat"/>
    <s v="https://w3id.org/eusoilvoc#Habitats"/>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water regulation"/>
    <s v="https://w3id.org/eusoilvoc#WaterRegulation"/>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food production"/>
    <s v="https://w3id.org/eusoilvoc#FoodProduction"/>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2"/>
    <m/>
    <m/>
    <s v=""/>
    <x v="0"/>
    <s v="water purification"/>
    <s v="https://w3id.org/eusoilvoc#WaterPurification"/>
    <m/>
    <m/>
    <x v="0"/>
    <x v="0"/>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soil functions"/>
    <s v="https://w3id.org/eusoilvoc#SoilFunctions"/>
    <m/>
    <m/>
    <x v="0"/>
    <x v="1"/>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ecosystem services"/>
    <s v="https://w3id.org/eusoilvoc#EcosystemServices"/>
    <m/>
    <m/>
    <x v="0"/>
    <x v="2"/>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soil management"/>
    <s v="https://w3id.org/eusoilvoc#SoilManagement"/>
    <m/>
    <m/>
    <x v="0"/>
    <x v="3"/>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agricultural sustainability"/>
    <s v="https://w3id.org/eusoilvoc#AgriculturalSustainability"/>
    <m/>
    <m/>
    <x v="0"/>
    <x v="4"/>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food production"/>
    <s v="https://w3id.org/eusoilvoc#FoodProduction"/>
    <m/>
    <m/>
    <x v="0"/>
    <x v="17"/>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water purification"/>
    <s v="https://w3id.org/eusoilvoc#WaterPurification"/>
    <m/>
    <m/>
    <x v="0"/>
    <x v="5"/>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habitat"/>
    <s v="https://w3id.org/eusoilvoc#Habitats"/>
    <m/>
    <m/>
    <x v="0"/>
    <x v="6"/>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land use"/>
    <s v="https://w3id.org/eusoilvoc#LandUse"/>
    <m/>
    <m/>
    <x v="0"/>
    <x v="7"/>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climate regulation"/>
    <s v="https://w3id.org/eusoilvoc#ClimateRegulation"/>
    <m/>
    <m/>
    <x v="0"/>
    <x v="8"/>
    <n v="0"/>
    <n v="0"/>
  </r>
  <r>
    <s v="10.3030/635201"/>
    <s v="LAND Management: Assessment, Research, Knowledge base"/>
    <s v="LANDMARK is a pan-European multi-actor consortium of leading academic and applied research institutes, chambers of agriculture and policy makers that will develop a coherent framework for soil management aimed at sustainable food production across Europe._x000a_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_x000a_LANDMARK will uniquely respond to the breadth of this challenge by delivering (through multi-actor development):_x000a_1. LOCAL SCALE: A toolkit for farmers with cost-effective, practical measures for sustainable (and context specific) soil management._x000a_2. REGIONAL SCALE - A blueprint for a soil monitoring scheme, using harmonised indicators: this will facilitate the assessment of soil functions for different soil types and land-uses for all major EU climatic zones._x000a_3. EU SCALE – An assessment of EU policy instruments for incentivising sustainable land management._x000a_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
    <s v="en"/>
    <x v="3"/>
    <s v=""/>
    <s v=""/>
    <s v=""/>
    <x v="0"/>
    <s v="carbon storage capacity"/>
    <s v="https://w3id.org/eusoilvoc#CarbonStorageCapacity"/>
    <m/>
    <m/>
    <x v="0"/>
    <x v="9"/>
    <n v="0"/>
    <n v="0"/>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2. zero hunger"/>
    <s v="sdg"/>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0401 agriculture, forestry, and fisheries"/>
    <s v="fos"/>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data mining"/>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006"/>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agricultural decision-making"/>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12. responsible consumption"/>
    <s v="sdg"/>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15. life on land"/>
    <s v="sdg"/>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soil functions"/>
    <s v="free_keyword"/>
    <s v="https://w3id.org/eusoilvoc#SoilFunctions"/>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shs.eco]humanities and social sciences/economics and finance"/>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yield"/>
    <s v="free_keyword"/>
    <s v="https://w3id.org/eusoilvoc#CropYield"/>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environmental sciences"/>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expert knowledge"/>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decision support model"/>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ge1-350"/>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shs.eco] humanities and social sciences/economics and finance"/>
    <s v="free_keyword"/>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0"/>
    <s v="04 agricultural and veterinary sciences"/>
    <s v="fos"/>
    <s v=""/>
    <x v="0"/>
    <m/>
    <m/>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agricultural function"/>
    <s v="https://w3id.org/eusoilvoc#SoilAgriculturalFunctions"/>
    <m/>
    <n v="0.99890000000000001"/>
    <x v="1"/>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agricultural sustainability"/>
    <s v="https://w3id.org/eusoilvoc#AgriculturalSustainability"/>
    <m/>
    <n v="0.98899999999999999"/>
    <x v="2"/>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productivity"/>
    <s v="https://w3id.org/eusoilvoc#SoilProductivity"/>
    <m/>
    <n v="0.96609999999999996"/>
    <x v="3"/>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description"/>
    <s v="https://w3id.org/eusoilvoc#SoilDescription"/>
    <m/>
    <n v="0.35680000000000001"/>
    <x v="4"/>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management"/>
    <s v="https://w3id.org/eusoilvoc#SoilManagement"/>
    <m/>
    <n v="0.33979999999999999"/>
    <x v="5"/>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function indicators"/>
    <s v="https://w3id.org/eusoilvoc#SoilFunctionIndicators"/>
    <m/>
    <n v="0.28029999999999999"/>
    <x v="6"/>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environmental function"/>
    <s v="https://w3id.org/eusoilvoc#SoilEnvironmentalFunctions"/>
    <m/>
    <n v="0.17760000000000001"/>
    <x v="7"/>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arable land development"/>
    <s v="https://w3id.org/eusoilvoc#LandUse"/>
    <m/>
    <n v="0.14080000000000001"/>
    <x v="8"/>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indicators"/>
    <s v="https://w3id.org/eusoilvoc#SoilIndicators"/>
    <m/>
    <n v="0.1346"/>
    <x v="9"/>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nutrient"/>
    <s v="https://w3id.org/eusoilvoc#SoilNutrients"/>
    <m/>
    <n v="0.113"/>
    <x v="1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engineering functions"/>
    <s v="https://w3id.org/eusoilvoc#SoilEngineeringFunctions"/>
    <m/>
    <n v="0.1087"/>
    <x v="11"/>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classification"/>
    <s v="https://w3id.org/eusoilvoc#SoilClassification"/>
    <m/>
    <n v="7.4300000000000005E-2"/>
    <x v="12"/>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quality"/>
    <s v="https://w3id.org/eusoilvoc#SoilHealth"/>
    <m/>
    <n v="6.5000000000000002E-2"/>
    <x v="13"/>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1"/>
    <m/>
    <m/>
    <s v=""/>
    <x v="0"/>
    <s v="soil quality"/>
    <s v="https://w3id.org/eusoilvoc#SoilQuality"/>
    <m/>
    <n v="6.5000000000000002E-2"/>
    <x v="14"/>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soil function"/>
    <s v="https://w3id.org/eusoilvoc#SoilFunction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soil functions"/>
    <s v="https://w3id.org/eusoilvoc#SoilFunction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agricultural sustainability"/>
    <s v="https://w3id.org/eusoilvoc#AgriculturalSustainability"/>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soil properties"/>
    <s v="https://w3id.org/eusoilvoc#SoilPropertie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soil"/>
    <s v="https://w3id.org/eusoilvoc#Soil"/>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crop"/>
    <s v="https://w3id.org/eusoilvoc#Crop"/>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biomass"/>
    <s v="https://w3id.org/eusoilvoc#Biomas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environmental conditions"/>
    <s v="https://w3id.org/eusoilvoc#EnvironmentalFactor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2"/>
    <m/>
    <m/>
    <s v=""/>
    <x v="0"/>
    <s v="input"/>
    <s v="https://w3id.org/eusoilvoc#Inputs"/>
    <m/>
    <m/>
    <x v="0"/>
    <x v="0"/>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agricultural sustainability"/>
    <s v="https://w3id.org/eusoilvoc#AgriculturalSustainability"/>
    <m/>
    <m/>
    <x v="0"/>
    <x v="1"/>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soil function"/>
    <s v="https://w3id.org/eusoilvoc#SoilFunctions"/>
    <m/>
    <m/>
    <x v="0"/>
    <x v="2"/>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soil properties"/>
    <s v="https://w3id.org/eusoilvoc#SoilProperties"/>
    <m/>
    <m/>
    <x v="0"/>
    <x v="4"/>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environmental conditions"/>
    <s v="https://w3id.org/eusoilvoc#EnvironmentalFactors"/>
    <m/>
    <m/>
    <x v="0"/>
    <x v="17"/>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biomass productivity"/>
    <s v="https://w3id.org/eusoilvoc#BiomassProductivity"/>
    <m/>
    <m/>
    <x v="0"/>
    <x v="6"/>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soil productivity"/>
    <s v="https://w3id.org/eusoilvoc#SoilProductivity"/>
    <m/>
    <m/>
    <x v="0"/>
    <x v="8"/>
    <n v="0"/>
    <n v="2"/>
  </r>
  <r>
    <s v="10.3389/fenvs.2019.00058"/>
    <s v="Development of an Agricultural Primary Productivity Decision Support Model: A Case Study in France"/>
    <s v="Agricultural soils provide society with several functions, one of which is primary productivity. This function is defined as the capacity of a soil to supply nutrients and water and to produce plant biomass for human use, providing food, feed, fiber, and fuel. For farmers, the productivity function delivers an economic basis and is a prerequisite for agricultural sustainability. Our study was designed to develop an agricultural primary productivity decision support model. To obtain a highly accurate decision support model that helps farmers and advisors to assess and manage the provision of the primary productivity soil function on their agricultural fields, we addressed the following specific objectives: (i) to construct a qualitative decision support model to assess the primary productivity soil function at the agricultural field level; (ii) to carry out verification, calibration, and sensitivity analysis of this model; and (iii) to validate the model based on empirical data. The result is a hierarchical qualitative model consisting of 25 input attributes describing soil properties, environmental conditions, cropping specifications, and management practices on each respective field. An extensive dataset from France containing data from 399 sites was used to calibrate and validate the model. The large amount of data enabled data mining to support model calibration. The accuracy of the decision support model prior to calibration supported by data mining was similar to 40%. The data mining approach improved the accuracy to 77%. The proposed methodology of combining decision modeling and data mining proved to be an important step forward. This iterative approach yielded an accurate, reliable, and useful decision support model for the assessment of the primary productivity soil function at the field level. This can assist farmers and advisors in selecting the most appropriate crop management practices. Embedding this decision support model in a set of complementary models for four adjacent soil functions, as endeavored in the H2020 LANDMARK project, will help take the integrated sustainability of arable cropping systems to a new level."/>
    <s v="en"/>
    <x v="3"/>
    <s v=""/>
    <s v=""/>
    <s v=""/>
    <x v="0"/>
    <s v="crop yield"/>
    <s v="https://w3id.org/eusoilvoc#CropYield"/>
    <m/>
    <m/>
    <x v="0"/>
    <x v="9"/>
    <n v="0"/>
    <n v="2"/>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qe1-996.5"/>
    <s v="free_keyword"/>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03 medical and health sciences"/>
    <s v="fos"/>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0301 basic medicine"/>
    <s v="fos"/>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life"/>
    <s v="free_keyword"/>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ecology"/>
    <s v="free_keyword"/>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0105 earth and related environmental sciences"/>
    <s v="fos"/>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qh501-531"/>
    <s v="free_keyword"/>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geology"/>
    <s v="free_keyword"/>
    <s v="https://w3id.org/eusoilvoc#Geology"/>
    <x v="2"/>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qh540-549.5"/>
    <s v="free_keyword"/>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01 natural sciences"/>
    <s v="fos"/>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13. climate action"/>
    <s v="sdg"/>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0"/>
    <s v="15. life on land"/>
    <s v="sdg"/>
    <s v=""/>
    <x v="0"/>
    <m/>
    <m/>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2"/>
    <s v="soil organic carbon"/>
    <s v="https://w3id.org/eusoilvoc#SoilOrganicCarbon"/>
    <b v="1"/>
    <n v="0.90280000000000005"/>
    <x v="1"/>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3"/>
    <s v="environmental conditions"/>
    <s v="https://w3id.org/eusoilvoc#EnvironmentalFactors"/>
    <m/>
    <n v="0.69130000000000003"/>
    <x v="2"/>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3"/>
    <s v="soil inorganic carbon"/>
    <s v="https://w3id.org/eusoilvoc#SoilInorganicCarbon"/>
    <b v="1"/>
    <n v="0.43109999999999998"/>
    <x v="3"/>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3"/>
    <s v="soil organic carbon loss"/>
    <s v="https://w3id.org/eusoilvoc#SOCLoss"/>
    <m/>
    <n v="0.17610000000000001"/>
    <x v="4"/>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2"/>
    <s v="soil microbial activity"/>
    <s v="https://w3id.org/eusoilvoc#SoilMicrobialActivity"/>
    <m/>
    <n v="8.5800000000000001E-2"/>
    <x v="5"/>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1"/>
    <m/>
    <m/>
    <s v=""/>
    <x v="2"/>
    <s v="soil organic matter"/>
    <s v="https://w3id.org/eusoilvoc#SoilOrganicMatter"/>
    <b v="1"/>
    <n v="8.0100000000000005E-2"/>
    <x v="6"/>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2"/>
    <m/>
    <m/>
    <s v=""/>
    <x v="2"/>
    <s v="soil organic carbon"/>
    <s v="https://w3id.org/eusoilvoc#SoilOrganicCarbon"/>
    <b v="1"/>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2"/>
    <m/>
    <m/>
    <s v=""/>
    <x v="3"/>
    <s v="environmental conditions"/>
    <s v="https://w3id.org/eusoilvoc#EnvironmentalFactors"/>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2"/>
    <m/>
    <m/>
    <s v=""/>
    <x v="2"/>
    <s v="soil"/>
    <s v="https://w3id.org/eusoilvoc#Soil"/>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2"/>
    <m/>
    <m/>
    <s v=""/>
    <x v="3"/>
    <s v="biomass"/>
    <s v="https://w3id.org/eusoilvoc#Biomass"/>
    <m/>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2"/>
    <m/>
    <m/>
    <s v=""/>
    <x v="2"/>
    <s v="SOC"/>
    <s v="https://w3id.org/eusoilvoc#SoilOrganicCarbon"/>
    <b v="1"/>
    <m/>
    <x v="0"/>
    <x v="0"/>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organic carbon"/>
    <s v="https://w3id.org/eusoilvoc#SoilOrganicCarbon"/>
    <m/>
    <m/>
    <x v="0"/>
    <x v="1"/>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microbial biomass"/>
    <s v="https://w3id.org/eusoilvoc#SoilMicrobialBiomass"/>
    <m/>
    <m/>
    <x v="0"/>
    <x v="2"/>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environmental conditions"/>
    <s v="https://w3id.org/eusoilvoc#EnvironmentalFactors"/>
    <m/>
    <m/>
    <x v="0"/>
    <x v="3"/>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microorganisms"/>
    <s v="https://w3id.org/eusoilvoc#SoilMicrofauna"/>
    <m/>
    <m/>
    <x v="0"/>
    <x v="4"/>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carbon pools"/>
    <s v="https://w3id.org/eusoilvoc#CarbonPools"/>
    <m/>
    <m/>
    <x v="0"/>
    <x v="17"/>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organic matter"/>
    <s v="https://w3id.org/eusoilvoc#SoilOrganicMatter"/>
    <m/>
    <m/>
    <x v="0"/>
    <x v="5"/>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biomass"/>
    <s v="https://w3id.org/eusoilvoc#Biomass"/>
    <m/>
    <m/>
    <x v="0"/>
    <x v="6"/>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microbial activity"/>
    <s v="https://w3id.org/eusoilvoc#SoilMicrobialActivity"/>
    <m/>
    <m/>
    <x v="0"/>
    <x v="7"/>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nutrient dynamics"/>
    <s v="https://w3id.org/eusoilvoc#NutrientDynamics"/>
    <m/>
    <m/>
    <x v="0"/>
    <x v="8"/>
    <n v="12"/>
    <n v="1"/>
  </r>
  <r>
    <s v="10.5194/egusphere-2024-348"/>
    <s v="When and why microbial-explicit soil organic carbon models can be unstable"/>
    <s v="&lt;jats:p&gt;Abstract. Microbial-explicit soil organic carbon (SOC) cycling models are increasingly recognized for their advantages over linear models in describing SOC dynamics. These models are known to exhibit oscillations, but it is not clear when they yield stable vs. unstable equilibrium points (EPs) – i.e. EPs that exist analytically, but are not stable to small perturbations and cannot be reached by transient simulations. Occurrence of such unstable EPs can lead to unexpected model behaviour in transient simulations or unrealistic predictions of steady state soil organic carbon (SOC) stocks. Here we ask when and why unstable EPs can occur in an archetypal microbial-explicit model (representing SOC, dissolved OC [DOC], microbial biomass, and extracellular enzymes) and some simplified versions of it. Further, if a model formulation allows for physically meaningful but unstable EPs, can we find constraints in the model parameters (i.e. environmental conditions and microbial traits) that ensure stability of the EPs? We use analytical, numerical and descriptive tools to answer these questions. We found that instability can occur when the resupply of a growth substrate (DOC) is (via a positive feedback loop) dependent on its abundance. We identified a conservative, sufficient condition on model parameters to ensure stability of EPs. Interactive effects of environmental conditions and parameters describing microbial physiology point to the relevance of basic ecological principles for avoidance of unrealistic (i.e. unstable) simulation outcomes. These insights can help to improve applicability of microbial-explicit models, aid our understanding of the dynamics of these models and highlight the relation between mathematical requirements and (in silico) microbial ecology.&lt;/jats:p&gt;"/>
    <s v="en"/>
    <x v="3"/>
    <s v=""/>
    <s v=""/>
    <s v=""/>
    <x v="0"/>
    <s v="soil biological processes"/>
    <s v="https://w3id.org/eusoilvoc#SoilBiologicalProcesses"/>
    <m/>
    <m/>
    <x v="0"/>
    <x v="9"/>
    <n v="12"/>
    <n v="1"/>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0"/>
    <s v="0401 agriculture, forestry, and fisheries"/>
    <s v="fos"/>
    <s v=""/>
    <x v="0"/>
    <m/>
    <m/>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0"/>
    <s v="04 agricultural and veterinary sciences"/>
    <s v="fos"/>
    <s v=""/>
    <x v="0"/>
    <m/>
    <m/>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biomass productivity"/>
    <s v="https://w3id.org/eusoilvoc#BiomassProductivity"/>
    <m/>
    <n v="0.43840000000000001"/>
    <x v="1"/>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3"/>
    <s v="soil pore heterogeneity"/>
    <s v="https://w3id.org/eusoilvoc#SoilPoreHeterogeneity"/>
    <m/>
    <n v="0.43709999999999999"/>
    <x v="2"/>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3"/>
    <s v="soil water table depth"/>
    <s v="https://w3id.org/eusoilvoc#SoilWaterTableDepth"/>
    <m/>
    <n v="0.2762"/>
    <x v="3"/>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nitrogen total"/>
    <s v="https://w3id.org/eusoilvoc#NitrogenTotal"/>
    <b v="1"/>
    <n v="0.14050000000000001"/>
    <x v="4"/>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soil total carbon"/>
    <s v="https://w3id.org/eusoilvoc#SoilTotalCarbon"/>
    <m/>
    <n v="0.11260000000000001"/>
    <x v="5"/>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emissions"/>
    <s v="https://w3id.org/eusoilvoc#Emissions"/>
    <m/>
    <n v="0.109"/>
    <x v="6"/>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soil gaseous emission"/>
    <s v="https://w3id.org/eusoilvoc#SoilGaseousEmission"/>
    <m/>
    <n v="8.72E-2"/>
    <x v="7"/>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1"/>
    <m/>
    <m/>
    <s v=""/>
    <x v="2"/>
    <s v="soil organic carbon loss"/>
    <s v="https://w3id.org/eusoilvoc#SOCLoss"/>
    <m/>
    <n v="5.8599999999999999E-2"/>
    <x v="8"/>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3"/>
    <s v="vegetation"/>
    <s v="https://w3id.org/eusoilvoc#Vegetation"/>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3"/>
    <s v="grass"/>
    <s v="https://w3id.org/eusoilvoc#Grasses"/>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2"/>
    <s v="biomass"/>
    <s v="https://w3id.org/eusoilvoc#Biomass"/>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2"/>
    <s v="crop"/>
    <s v="https://w3id.org/eusoilvoc#Crop"/>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2"/>
    <s v="emissions"/>
    <s v="https://w3id.org/eusoilvoc#Emissions"/>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3"/>
    <s v="soil temperature"/>
    <s v="https://w3id.org/eusoilvoc#SoilTemperature"/>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2"/>
    <s v="soil"/>
    <s v="https://w3id.org/eusoilvoc#Soil"/>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3"/>
    <s v="climate"/>
    <s v="https://w3id.org/eusoilvoc#Climate"/>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2"/>
    <m/>
    <m/>
    <s v=""/>
    <x v="3"/>
    <s v="flood"/>
    <s v="https://w3id.org/eusoilvoc#Floods"/>
    <m/>
    <m/>
    <x v="0"/>
    <x v="0"/>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3"/>
    <s v="grass"/>
    <s v="https://w3id.org/eusoilvoc#Grasses"/>
    <m/>
    <m/>
    <x v="0"/>
    <x v="1"/>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peat"/>
    <s v="https://w3id.org/eusoilvoc#Peat"/>
    <m/>
    <m/>
    <x v="0"/>
    <x v="2"/>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emissions"/>
    <s v="https://w3id.org/eusoilvoc#Emissions"/>
    <m/>
    <m/>
    <x v="0"/>
    <x v="3"/>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biomass productivity"/>
    <s v="https://w3id.org/eusoilvoc#BiomassProductivity"/>
    <m/>
    <m/>
    <x v="0"/>
    <x v="4"/>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fertiliser use"/>
    <s v="https://w3id.org/eusoilvoc#FertiliserUse"/>
    <m/>
    <m/>
    <x v="0"/>
    <x v="17"/>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soil water table depth"/>
    <s v="https://w3id.org/eusoilvoc#SoilWaterTableDepth"/>
    <m/>
    <m/>
    <x v="0"/>
    <x v="5"/>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nutrient dynamics"/>
    <s v="https://w3id.org/eusoilvoc#NutrientDynamics"/>
    <m/>
    <m/>
    <x v="0"/>
    <x v="6"/>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soil respiration"/>
    <s v="https://w3id.org/eusoilvoc#SoilRespiration"/>
    <m/>
    <m/>
    <x v="0"/>
    <x v="7"/>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climate regulation"/>
    <s v="https://w3id.org/eusoilvoc#ClimateRegulation"/>
    <m/>
    <m/>
    <x v="0"/>
    <x v="8"/>
    <n v="27"/>
    <n v="0"/>
  </r>
  <r>
    <s v="10.5194/soil-11-1053-2025"/>
    <s v="The potential of reed canary grass and the importance  of field heterogeneity for reducing GHG emissions  in a rewetting fen peatland"/>
    <s v="&lt;jats:p&gt;Abstract. Rewetting drained peatlands can reduce CO2 emissions but prevents traditional agriculture. Crop production under rewetted conditions may continue with flood-tolerant crops in paludiculture, but its effects on greenhouse gas (GHG) emissions compared to rewetting without further management are largely unknown. This study was conducted between 2021 and 2022 on a fen peatland in central Denmark established with Phalaris arundinacea L. (Reed Canary Grass) in 2018. Three harvest/fertilization management treatments (0, 2, and 5-cut) were applied with the 2-cut and 5-cut treatments receiving 200 kg N ha−1 yr−1 in equal split doses, whereas the 0-cut remained unfertilized. Measurements of CO2 and CH4 emissions were conducted biweekly under four different light intensities using a manual chamber connected to a gas analyzer. Although the mean annual water table depth (WTD) was −8 cm, indicating a rather wet peatland, the site remained a CO2 source with a mean net ecosystem C balance (NECB) of 6.6 t C ha−1 yr−1 across treatments. Methane emissions averaged 90 kg CH4-C ha−1 yr−1, equivalent to 11.7 % of NECB given as CO2 equivalents. Results showed that management marginally increased biomass production reflected by more negative gross primary productivity (GPP) in 2-cut and 5-cut compared to 0-cut. No significant treatment effect was found on NECB due to field heterogeneity reflected by differences in pore water nutrient concentrations and WTD dynamics among the studied blocks, with higher Reco corresponding to blocks where higher pore water nutrient concentrations were observed. The results indicated that GHG emissions might potentially be reduced when the biomass is harvested from the more productive peatland area in comparison with no management, whereas on the less productive area it might be beneficial to leave the biomass unmanaged. Model simulation of ecosystem respiration (Reco) using WTD data of high temporal resolution captured the variability better as compared to the use of mean annual WTD, which underestimated Reco by 18 % on average compared to the hourly WTD model. Data on pore water chemistry further improved statistical linear models of CO2 fluxes using soil temperature (Ts), WTD, ratio vegetation index (RVI) and photosynthetic active radiation (PAR) as explanatory variables. Overall, from a climate perspective the study supported biomass production compared to no management activity in rewetted fertile peatlands.&lt;/jats:p&gt;"/>
    <s v="en"/>
    <x v="3"/>
    <s v=""/>
    <s v=""/>
    <s v=""/>
    <x v="2"/>
    <s v="soil organic carbon"/>
    <s v="https://w3id.org/eusoilvoc#SoilOrganicCarbon"/>
    <m/>
    <m/>
    <x v="0"/>
    <x v="9"/>
    <n v="27"/>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0"/>
    <s v="0401 agriculture, forestry, and fisheries"/>
    <s v="fos"/>
    <s v=""/>
    <x v="0"/>
    <m/>
    <m/>
    <m/>
    <m/>
    <x v="0"/>
    <x v="0"/>
    <n v="0"/>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0"/>
    <s v="04 agricultural and veterinary sciences"/>
    <s v="fos"/>
    <s v=""/>
    <x v="0"/>
    <m/>
    <m/>
    <m/>
    <m/>
    <x v="0"/>
    <x v="0"/>
    <n v="0"/>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3"/>
    <s v=""/>
    <s v=""/>
    <s v=""/>
    <x v="0"/>
    <s v="land cover"/>
    <s v="https://w3id.org/eusoilvoc#LandCover"/>
    <m/>
    <m/>
    <x v="0"/>
    <x v="1"/>
    <n v="0"/>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3"/>
    <s v=""/>
    <s v=""/>
    <s v=""/>
    <x v="0"/>
    <s v="vegetation"/>
    <s v="https://w3id.org/eusoilvoc#Vegetation"/>
    <m/>
    <m/>
    <x v="0"/>
    <x v="2"/>
    <n v="0"/>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3"/>
    <s v=""/>
    <s v=""/>
    <s v=""/>
    <x v="0"/>
    <s v="plant cover"/>
    <s v="https://w3id.org/eusoilvoc#PlantCover"/>
    <m/>
    <m/>
    <x v="0"/>
    <x v="3"/>
    <n v="0"/>
    <n v="0"/>
  </r>
  <r>
    <s v="10.5281/zenodo.10883909"/>
    <s v="Landsat-based Spectral Indices for pan-EU 2000-2022  - Annual predictor P25 (2006): Reflectances bands, NDVI and NDWI"/>
    <s v="Data information          This dataset provides the P25 (percentile 25) values of corresponding predictors for the year 2006.          The P25 values are calculated from the bimonthly values of six corresponding predictors throughout the year.          The predictors in this subset include seven reflectance bands: red, green, blue, NIR, SWIR1, SWIR2, and thermal;          as well as two spectral indices: NDVI and NDWI.          As a part of a Data Cube          This data represents a subset of the Time-series of Landsat-based Spectral Indices (EU, 30m) data cube.          For a comprehensive overview and full dataset information, please visit the landing page of this data cube using the provided link.                    To cite this dataset, refer to the DOI available on the landing page.          To access other data layers in the data cube, use the navigation catalog on the landing page as well.                   Support          If you discover a bug, artifact, or inconsistency, or if you have a question, please raise a Github Issue!"/>
    <s v="en"/>
    <x v="3"/>
    <s v=""/>
    <s v=""/>
    <s v=""/>
    <x v="0"/>
    <s v="land use"/>
    <s v="https://w3id.org/eusoilvoc#LandUse"/>
    <m/>
    <m/>
    <x v="0"/>
    <x v="4"/>
    <n v="0"/>
    <n v="0"/>
  </r>
  <r>
    <s v="10.5281/zenodo.11190062"/>
    <s v="Assessing Apical Toxicity and Sublethal Responses of Earthworms in PFAS-Contaminated Soils: A Comprehensive Study at a Fire Training Site in Sweden"/>
    <s v="Poster presentation at SETEC 2024"/>
    <s v="en"/>
    <x v="1"/>
    <m/>
    <m/>
    <s v=""/>
    <x v="2"/>
    <s v="soil contaminant"/>
    <s v="https://w3id.org/eusoilvoc#SoilContaminants"/>
    <m/>
    <n v="0.53190000000000004"/>
    <x v="1"/>
    <x v="0"/>
    <n v="14"/>
    <n v="0"/>
  </r>
  <r>
    <s v="10.5281/zenodo.11190062"/>
    <s v="Assessing Apical Toxicity and Sublethal Responses of Earthworms in PFAS-Contaminated Soils: A Comprehensive Study at a Fire Training Site in Sweden"/>
    <s v="Poster presentation at SETEC 2024"/>
    <s v="en"/>
    <x v="1"/>
    <m/>
    <m/>
    <s v=""/>
    <x v="2"/>
    <s v="earth worms"/>
    <s v="https://w3id.org/eusoilvoc#Earthworms"/>
    <m/>
    <n v="9.7500000000000003E-2"/>
    <x v="2"/>
    <x v="0"/>
    <n v="14"/>
    <n v="0"/>
  </r>
  <r>
    <s v="10.5281/zenodo.11190062"/>
    <s v="Assessing Apical Toxicity and Sublethal Responses of Earthworms in PFAS-Contaminated Soils: A Comprehensive Study at a Fire Training Site in Sweden"/>
    <s v="Poster presentation at SETEC 2024"/>
    <s v="en"/>
    <x v="1"/>
    <m/>
    <m/>
    <s v=""/>
    <x v="2"/>
    <s v="soil pollution"/>
    <s v="https://w3id.org/eusoilvoc#SoilPollution"/>
    <m/>
    <n v="9.3899999999999997E-2"/>
    <x v="3"/>
    <x v="0"/>
    <n v="14"/>
    <n v="0"/>
  </r>
  <r>
    <s v="10.5281/zenodo.11190062"/>
    <s v="Assessing Apical Toxicity and Sublethal Responses of Earthworms in PFAS-Contaminated Soils: A Comprehensive Study at a Fire Training Site in Sweden"/>
    <s v="Poster presentation at SETEC 2024"/>
    <s v="en"/>
    <x v="2"/>
    <m/>
    <m/>
    <s v=""/>
    <x v="2"/>
    <s v="earthworms"/>
    <s v="https://w3id.org/eusoilvoc#Earthworms"/>
    <m/>
    <m/>
    <x v="0"/>
    <x v="0"/>
    <n v="14"/>
    <n v="0"/>
  </r>
  <r>
    <s v="10.5281/zenodo.11190062"/>
    <s v="Assessing Apical Toxicity and Sublethal Responses of Earthworms in PFAS-Contaminated Soils: A Comprehensive Study at a Fire Training Site in Sweden"/>
    <s v="Poster presentation at SETEC 2024"/>
    <s v="en"/>
    <x v="3"/>
    <s v=""/>
    <s v=""/>
    <s v=""/>
    <x v="2"/>
    <s v="earthworms"/>
    <s v="https://w3id.org/eusoilvoc#Earthworms"/>
    <m/>
    <m/>
    <x v="0"/>
    <x v="1"/>
    <n v="14"/>
    <n v="0"/>
  </r>
  <r>
    <s v="10.5281/zenodo.11190062"/>
    <s v="Assessing Apical Toxicity and Sublethal Responses of Earthworms in PFAS-Contaminated Soils: A Comprehensive Study at a Fire Training Site in Sweden"/>
    <s v="Poster presentation at SETEC 2024"/>
    <s v="en"/>
    <x v="3"/>
    <s v=""/>
    <s v=""/>
    <s v=""/>
    <x v="2"/>
    <s v="soil contaminants"/>
    <s v="https://w3id.org/eusoilvoc#SoilContaminants"/>
    <m/>
    <m/>
    <x v="0"/>
    <x v="2"/>
    <n v="14"/>
    <n v="0"/>
  </r>
  <r>
    <s v="10.5281/zenodo.11190062"/>
    <s v="Assessing Apical Toxicity and Sublethal Responses of Earthworms in PFAS-Contaminated Soils: A Comprehensive Study at a Fire Training Site in Sweden"/>
    <s v="Poster presentation at SETEC 2024"/>
    <s v="en"/>
    <x v="3"/>
    <s v=""/>
    <s v=""/>
    <s v=""/>
    <x v="2"/>
    <s v="soil pollution"/>
    <s v="https://w3id.org/eusoilvoc#SoilPollution"/>
    <m/>
    <m/>
    <x v="0"/>
    <x v="3"/>
    <n v="14"/>
    <n v="0"/>
  </r>
  <r>
    <s v="10.5281/zenodo.11190062"/>
    <s v="Assessing Apical Toxicity and Sublethal Responses of Earthworms in PFAS-Contaminated Soils: A Comprehensive Study at a Fire Training Site in Sweden"/>
    <s v="Poster presentation at SETEC 2024"/>
    <s v="en"/>
    <x v="3"/>
    <s v=""/>
    <s v=""/>
    <s v=""/>
    <x v="2"/>
    <s v="soil macrofauna"/>
    <s v="https://w3id.org/eusoilvoc#SoilMacrofauna"/>
    <m/>
    <m/>
    <x v="0"/>
    <x v="4"/>
    <n v="14"/>
    <n v="0"/>
  </r>
  <r>
    <s v="10.5281/zenodo.11190062"/>
    <s v="Assessing Apical Toxicity and Sublethal Responses of Earthworms in PFAS-Contaminated Soils: A Comprehensive Study at a Fire Training Site in Sweden"/>
    <s v="Poster presentation at SETEC 2024"/>
    <s v="en"/>
    <x v="3"/>
    <s v=""/>
    <s v=""/>
    <s v=""/>
    <x v="2"/>
    <s v="soil fauna"/>
    <s v="https://w3id.org/eusoilvoc#SoilFauna"/>
    <m/>
    <m/>
    <x v="0"/>
    <x v="17"/>
    <n v="14"/>
    <n v="0"/>
  </r>
  <r>
    <s v="10.5281/zenodo.11190062"/>
    <s v="Assessing Apical Toxicity and Sublethal Responses of Earthworms in PFAS-Contaminated Soils: A Comprehensive Study at a Fire Training Site in Sweden"/>
    <s v="Poster presentation at SETEC 2024"/>
    <s v="en"/>
    <x v="3"/>
    <s v=""/>
    <s v=""/>
    <s v=""/>
    <x v="2"/>
    <s v="soil biological functions"/>
    <s v="https://w3id.org/eusoilvoc#SoilBiologicalFunctions"/>
    <m/>
    <m/>
    <x v="0"/>
    <x v="5"/>
    <n v="14"/>
    <n v="0"/>
  </r>
  <r>
    <s v="10.5281/zenodo.11190062"/>
    <s v="Assessing Apical Toxicity and Sublethal Responses of Earthworms in PFAS-Contaminated Soils: A Comprehensive Study at a Fire Training Site in Sweden"/>
    <s v="Poster presentation at SETEC 2024"/>
    <s v="en"/>
    <x v="3"/>
    <s v=""/>
    <s v=""/>
    <s v=""/>
    <x v="2"/>
    <s v="soil health"/>
    <s v="https://w3id.org/eusoilvoc#SoilHealth"/>
    <m/>
    <m/>
    <x v="0"/>
    <x v="6"/>
    <n v="14"/>
    <n v="0"/>
  </r>
  <r>
    <s v="10.5281/zenodo.11190062"/>
    <s v="Assessing Apical Toxicity and Sublethal Responses of Earthworms in PFAS-Contaminated Soils: A Comprehensive Study at a Fire Training Site in Sweden"/>
    <s v="Poster presentation at SETEC 2024"/>
    <s v="en"/>
    <x v="3"/>
    <s v=""/>
    <s v=""/>
    <s v=""/>
    <x v="2"/>
    <s v="soil health"/>
    <s v="https://w3id.org/eusoilvoc#SoilQuality"/>
    <m/>
    <m/>
    <x v="0"/>
    <x v="6"/>
    <n v="14"/>
    <n v="0"/>
  </r>
  <r>
    <s v="10.5281/zenodo.11190062"/>
    <s v="Assessing Apical Toxicity and Sublethal Responses of Earthworms in PFAS-Contaminated Soils: A Comprehensive Study at a Fire Training Site in Sweden"/>
    <s v="Poster presentation at SETEC 2024"/>
    <s v="en"/>
    <x v="3"/>
    <s v=""/>
    <s v=""/>
    <s v=""/>
    <x v="3"/>
    <s v="biomass"/>
    <s v="https://w3id.org/eusoilvoc#Biomass"/>
    <m/>
    <m/>
    <x v="0"/>
    <x v="8"/>
    <n v="14"/>
    <n v="0"/>
  </r>
  <r>
    <s v="10.5281/zenodo.11190062"/>
    <s v="Assessing Apical Toxicity and Sublethal Responses of Earthworms in PFAS-Contaminated Soils: A Comprehensive Study at a Fire Training Site in Sweden"/>
    <s v="Poster presentation at SETEC 2024"/>
    <s v="en"/>
    <x v="3"/>
    <s v=""/>
    <s v=""/>
    <s v=""/>
    <x v="2"/>
    <s v="soil organisms"/>
    <s v="https://w3id.org/eusoilvoc#SoilOrganisms"/>
    <m/>
    <m/>
    <x v="0"/>
    <x v="9"/>
    <n v="14"/>
    <n v="0"/>
  </r>
  <r>
    <s v="10.5281/zenodo.12583774"/>
    <s v="Soilcare data agricultural soil quality improvement"/>
    <s v="Dataset that contains survey data on Spanish and UK respondents on agricultural soil quality protection and improvement"/>
    <s v="en"/>
    <x v="0"/>
    <s v="04 agricultural and veterinary sciences"/>
    <s v="fos"/>
    <s v=""/>
    <x v="0"/>
    <m/>
    <m/>
    <m/>
    <m/>
    <x v="0"/>
    <x v="0"/>
    <n v="14"/>
    <n v="0"/>
  </r>
  <r>
    <s v="10.5281/zenodo.12583774"/>
    <s v="Soilcare data agricultural soil quality improvement"/>
    <s v="Dataset that contains survey data on Spanish and UK respondents on agricultural soil quality protection and improvement"/>
    <s v="en"/>
    <x v="0"/>
    <s v="0401 agriculture, forestry, and fisheries"/>
    <s v="fos"/>
    <s v=""/>
    <x v="0"/>
    <m/>
    <m/>
    <m/>
    <m/>
    <x v="0"/>
    <x v="0"/>
    <n v="14"/>
    <n v="0"/>
  </r>
  <r>
    <s v="10.5281/zenodo.12583774"/>
    <s v="Soilcare data agricultural soil quality improvement"/>
    <s v="Dataset that contains survey data on Spanish and UK respondents on agricultural soil quality protection and improvement"/>
    <s v="en"/>
    <x v="1"/>
    <m/>
    <m/>
    <s v=""/>
    <x v="2"/>
    <s v="soil quality"/>
    <s v="https://w3id.org/eusoilvoc#SoilHealth"/>
    <m/>
    <n v="0.1948"/>
    <x v="1"/>
    <x v="0"/>
    <n v="14"/>
    <n v="0"/>
  </r>
  <r>
    <s v="10.5281/zenodo.12583774"/>
    <s v="Soilcare data agricultural soil quality improvement"/>
    <s v="Dataset that contains survey data on Spanish and UK respondents on agricultural soil quality protection and improvement"/>
    <s v="en"/>
    <x v="1"/>
    <m/>
    <m/>
    <s v=""/>
    <x v="2"/>
    <s v="soil quality"/>
    <s v="https://w3id.org/eusoilvoc#SoilQuality"/>
    <m/>
    <n v="0.1948"/>
    <x v="2"/>
    <x v="0"/>
    <n v="14"/>
    <n v="0"/>
  </r>
  <r>
    <s v="10.5281/zenodo.12583774"/>
    <s v="Soilcare data agricultural soil quality improvement"/>
    <s v="Dataset that contains survey data on Spanish and UK respondents on agricultural soil quality protection and improvement"/>
    <s v="en"/>
    <x v="1"/>
    <m/>
    <m/>
    <s v=""/>
    <x v="2"/>
    <s v="soil agricultural function"/>
    <s v="https://w3id.org/eusoilvoc#SoilAgriculturalFunctions"/>
    <m/>
    <n v="7.0099999999999996E-2"/>
    <x v="3"/>
    <x v="0"/>
    <n v="14"/>
    <n v="0"/>
  </r>
  <r>
    <s v="10.5281/zenodo.12583774"/>
    <s v="Soilcare data agricultural soil quality improvement"/>
    <s v="Dataset that contains survey data on Spanish and UK respondents on agricultural soil quality protection and improvement"/>
    <s v="en"/>
    <x v="2"/>
    <m/>
    <m/>
    <s v=""/>
    <x v="2"/>
    <s v="soil quality"/>
    <s v="https://w3id.org/eusoilvoc#SoilHealth"/>
    <m/>
    <m/>
    <x v="0"/>
    <x v="0"/>
    <n v="14"/>
    <n v="0"/>
  </r>
  <r>
    <s v="10.5281/zenodo.12583774"/>
    <s v="Soilcare data agricultural soil quality improvement"/>
    <s v="Dataset that contains survey data on Spanish and UK respondents on agricultural soil quality protection and improvement"/>
    <s v="en"/>
    <x v="2"/>
    <m/>
    <m/>
    <s v=""/>
    <x v="2"/>
    <s v="soil quality"/>
    <s v="https://w3id.org/eusoilvoc#SoilQuality"/>
    <m/>
    <m/>
    <x v="0"/>
    <x v="0"/>
    <n v="14"/>
    <n v="0"/>
  </r>
  <r>
    <s v="10.5281/zenodo.12583774"/>
    <s v="Soilcare data agricultural soil quality improvement"/>
    <s v="Dataset that contains survey data on Spanish and UK respondents on agricultural soil quality protection and improvement"/>
    <s v="en"/>
    <x v="2"/>
    <m/>
    <m/>
    <s v=""/>
    <x v="2"/>
    <s v="soil"/>
    <s v="https://w3id.org/eusoilvoc#Soil"/>
    <m/>
    <m/>
    <x v="0"/>
    <x v="0"/>
    <n v="14"/>
    <n v="0"/>
  </r>
  <r>
    <s v="10.5281/zenodo.12583774"/>
    <s v="Soilcare data agricultural soil quality improvement"/>
    <s v="Dataset that contains survey data on Spanish and UK respondents on agricultural soil quality protection and improvement"/>
    <s v="en"/>
    <x v="3"/>
    <s v=""/>
    <s v=""/>
    <s v=""/>
    <x v="2"/>
    <s v="soil quality"/>
    <s v="https://w3id.org/eusoilvoc#SoilHealth"/>
    <m/>
    <m/>
    <x v="0"/>
    <x v="1"/>
    <n v="14"/>
    <n v="0"/>
  </r>
  <r>
    <s v="10.5281/zenodo.12583774"/>
    <s v="Soilcare data agricultural soil quality improvement"/>
    <s v="Dataset that contains survey data on Spanish and UK respondents on agricultural soil quality protection and improvement"/>
    <s v="en"/>
    <x v="3"/>
    <s v=""/>
    <s v=""/>
    <s v=""/>
    <x v="2"/>
    <s v="soil quality"/>
    <s v="https://w3id.org/eusoilvoc#SoilQuality"/>
    <m/>
    <m/>
    <x v="0"/>
    <x v="1"/>
    <n v="14"/>
    <n v="0"/>
  </r>
  <r>
    <s v="10.5281/zenodo.12583774"/>
    <s v="Soilcare data agricultural soil quality improvement"/>
    <s v="Dataset that contains survey data on Spanish and UK respondents on agricultural soil quality protection and improvement"/>
    <s v="en"/>
    <x v="3"/>
    <s v=""/>
    <s v=""/>
    <s v=""/>
    <x v="3"/>
    <s v="agricultural sustainability"/>
    <s v="https://w3id.org/eusoilvoc#AgriculturalSustainability"/>
    <m/>
    <m/>
    <x v="0"/>
    <x v="2"/>
    <n v="14"/>
    <n v="0"/>
  </r>
  <r>
    <s v="10.5281/zenodo.12583774"/>
    <s v="Soilcare data agricultural soil quality improvement"/>
    <s v="Dataset that contains survey data on Spanish and UK respondents on agricultural soil quality protection and improvement"/>
    <s v="en"/>
    <x v="3"/>
    <s v=""/>
    <s v=""/>
    <s v=""/>
    <x v="3"/>
    <s v="soil functions"/>
    <s v="https://w3id.org/eusoilvoc#SoilFunctions"/>
    <m/>
    <m/>
    <x v="0"/>
    <x v="4"/>
    <n v="14"/>
    <n v="0"/>
  </r>
  <r>
    <s v="10.5281/zenodo.12583774"/>
    <s v="Soilcare data agricultural soil quality improvement"/>
    <s v="Dataset that contains survey data on Spanish and UK respondents on agricultural soil quality protection and improvement"/>
    <s v="en"/>
    <x v="3"/>
    <s v=""/>
    <s v=""/>
    <s v=""/>
    <x v="3"/>
    <s v="ecosystem services"/>
    <s v="https://w3id.org/eusoilvoc#EcosystemServices"/>
    <m/>
    <m/>
    <x v="0"/>
    <x v="17"/>
    <n v="14"/>
    <n v="0"/>
  </r>
  <r>
    <s v="10.5281/zenodo.12583774"/>
    <s v="Soilcare data agricultural soil quality improvement"/>
    <s v="Dataset that contains survey data on Spanish and UK respondents on agricultural soil quality protection and improvement"/>
    <s v="en"/>
    <x v="3"/>
    <s v=""/>
    <s v=""/>
    <s v=""/>
    <x v="3"/>
    <s v="soil degradation"/>
    <s v="https://w3id.org/eusoilvoc#SoilDegradation"/>
    <m/>
    <m/>
    <x v="0"/>
    <x v="5"/>
    <n v="14"/>
    <n v="0"/>
  </r>
  <r>
    <s v="10.5281/zenodo.12583774"/>
    <s v="Soilcare data agricultural soil quality improvement"/>
    <s v="Dataset that contains survey data on Spanish and UK respondents on agricultural soil quality protection and improvement"/>
    <s v="en"/>
    <x v="3"/>
    <s v=""/>
    <s v=""/>
    <s v=""/>
    <x v="2"/>
    <s v="soil management"/>
    <s v="https://w3id.org/eusoilvoc#SoilManagement"/>
    <m/>
    <m/>
    <x v="0"/>
    <x v="6"/>
    <n v="14"/>
    <n v="0"/>
  </r>
  <r>
    <s v="10.5281/zenodo.12583774"/>
    <s v="Soilcare data agricultural soil quality improvement"/>
    <s v="Dataset that contains survey data on Spanish and UK respondents on agricultural soil quality protection and improvement"/>
    <s v="en"/>
    <x v="3"/>
    <s v=""/>
    <s v=""/>
    <s v=""/>
    <x v="2"/>
    <s v="soil indicators"/>
    <s v="https://w3id.org/eusoilvoc#SoilIndicators"/>
    <m/>
    <m/>
    <x v="0"/>
    <x v="7"/>
    <n v="14"/>
    <n v="0"/>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04 agricultural and veterinary sciences"/>
    <s v="fos"/>
    <s v=""/>
    <x v="0"/>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probefield"/>
    <s v="free_keyword"/>
    <s v=""/>
    <x v="0"/>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0401 agriculture, forestry, and fisheries"/>
    <s v="fos"/>
    <s v=""/>
    <x v="0"/>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ejp soil"/>
    <s v="free_keyword"/>
    <s v=""/>
    <x v="0"/>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soil sciences"/>
    <s v="free_keyword"/>
    <s v="https://w3id.org/eusoilvoc#Soil"/>
    <x v="2"/>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remote sensing"/>
    <s v="free_keyword"/>
    <s v=""/>
    <x v="1"/>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0"/>
    <s v="proximal soil sensing"/>
    <s v="free_keyword"/>
    <s v=""/>
    <x v="1"/>
    <m/>
    <m/>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1"/>
    <m/>
    <m/>
    <s v=""/>
    <x v="3"/>
    <s v="environmental factor"/>
    <s v="https://w3id.org/eusoilvoc#EnvironmentalFactors"/>
    <m/>
    <n v="0.16059999999999999"/>
    <x v="1"/>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1"/>
    <m/>
    <m/>
    <s v=""/>
    <x v="2"/>
    <s v="soil indicator"/>
    <s v="https://w3id.org/eusoilvoc#SoilIndicators"/>
    <m/>
    <n v="0.111"/>
    <x v="2"/>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2"/>
    <m/>
    <m/>
    <s v=""/>
    <x v="2"/>
    <s v="soil"/>
    <s v="https://w3id.org/eusoilvoc#Soil"/>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2"/>
    <m/>
    <m/>
    <s v=""/>
    <x v="3"/>
    <s v="soil fertility"/>
    <s v="https://w3id.org/eusoilvoc#SoilProductivity"/>
    <m/>
    <m/>
    <x v="0"/>
    <x v="0"/>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3"/>
    <s v="soil fertility"/>
    <s v="https://w3id.org/eusoilvoc#SoilProductivity"/>
    <m/>
    <m/>
    <x v="0"/>
    <x v="1"/>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3"/>
    <s v="carbon pool"/>
    <s v="https://w3id.org/eusoilvoc#CarbonPools"/>
    <m/>
    <m/>
    <x v="0"/>
    <x v="2"/>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2"/>
    <s v="soil organic carbon"/>
    <s v="https://w3id.org/eusoilvoc#SoilOrganicCarbon"/>
    <m/>
    <m/>
    <x v="0"/>
    <x v="3"/>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3"/>
    <s v="carbon storage capacity"/>
    <s v="https://w3id.org/eusoilvoc#CarbonStorageCapacity"/>
    <m/>
    <m/>
    <x v="0"/>
    <x v="4"/>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3"/>
    <s v="soil carbon density"/>
    <s v="https://w3id.org/eusoilvoc#SoilCarbonDensity"/>
    <m/>
    <m/>
    <x v="0"/>
    <x v="17"/>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2"/>
    <s v="soil total carbon"/>
    <s v="https://w3id.org/eusoilvoc#SoilTotalCarbon"/>
    <m/>
    <m/>
    <x v="0"/>
    <x v="5"/>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2"/>
    <s v="soil organic matter"/>
    <s v="https://w3id.org/eusoilvoc#SoilOrganicMatter"/>
    <m/>
    <m/>
    <x v="0"/>
    <x v="6"/>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2"/>
    <s v="soil organic matter content"/>
    <s v="https://w3id.org/eusoilvoc#SoilOrganicMatterContents"/>
    <m/>
    <m/>
    <x v="0"/>
    <x v="7"/>
    <n v="16"/>
    <n v="1"/>
  </r>
  <r>
    <s v="10.5281/zenodo.14184825"/>
    <s v="The EJP SOIL ProbeField Session of seven presentations at the GPSS workshop in Gent October 2024"/>
    <s v="This presentation is a compilation of seven presentations covering a large part of the work and findings of the EJP SOIL project ProbeField - A novel protocol for robust in field monitoring of carbon stock and soil fertility based on proximal sensors and existing soil spectral libraries given at a special session during The Sixth Global Proximal Soil Sensing Workshop (https://www.gpss-2024.com/)  in Gent in October 2024. ProbeField is a joint project involving 14 partners from 12 countries:   Swedish University of Agricultural Sciences (SLU), Aarhus University (AU), Austrian Agency for Health and Food Safety Ltd. (AGES), Agroscope (AGS), University of Natural Resources and Life Sciences Vienna (BOKU), National Research Council of Italy (CNR), Council for Agricultural Research and Economics (CREA), Spanish National Research Council (CSIC), Czech University of Life Sciences Prague (CZU), National Research Institute for Agriculture, Food and Environment (INRAE), Institute of Soil Science and Plant Cultivation - State Research Institute (IUNG-PIB), General Directorate of Agricultural Research and Policies (TAGEM), University of Maribor, Faculty of Agriculture and Life Sciences (UM-FKBV) and Wageningen Environmental Research (WR)."/>
    <s v="en"/>
    <x v="3"/>
    <s v=""/>
    <s v=""/>
    <s v=""/>
    <x v="3"/>
    <s v="soil nutrient availability"/>
    <s v="https://w3id.org/eusoilvoc#SoilNutrientAvailability"/>
    <m/>
    <m/>
    <x v="0"/>
    <x v="8"/>
    <n v="16"/>
    <n v="1"/>
  </r>
  <r>
    <s v="10.5281/zenodo.15083810"/>
    <s v="A review of existing soil monitoring systems"/>
    <s v="This study addresses main questions when developing a soil monitoring programme and underlines possible ways to harmonize national programmes with EU Soil Observatory"/>
    <s v="en"/>
    <x v="0"/>
    <s v="0401 agriculture, forestry, and fisheries"/>
    <s v="fos"/>
    <s v=""/>
    <x v="0"/>
    <m/>
    <m/>
    <m/>
    <m/>
    <x v="0"/>
    <x v="0"/>
    <n v="0"/>
    <n v="0"/>
  </r>
  <r>
    <s v="10.5281/zenodo.15083810"/>
    <s v="A review of existing soil monitoring systems"/>
    <s v="This study addresses main questions when developing a soil monitoring programme and underlines possible ways to harmonize national programmes with EU Soil Observatory"/>
    <s v="en"/>
    <x v="0"/>
    <s v="04 agricultural and veterinary sciences"/>
    <s v="fos"/>
    <s v=""/>
    <x v="0"/>
    <m/>
    <m/>
    <m/>
    <m/>
    <x v="0"/>
    <x v="0"/>
    <n v="0"/>
    <n v="0"/>
  </r>
  <r>
    <s v="10.5281/zenodo.15083810"/>
    <s v="A review of existing soil monitoring systems"/>
    <s v="This study addresses main questions when developing a soil monitoring programme and underlines possible ways to harmonize national programmes with EU Soil Observatory"/>
    <s v="en"/>
    <x v="2"/>
    <m/>
    <m/>
    <s v=""/>
    <x v="0"/>
    <s v="soil"/>
    <s v="https://w3id.org/eusoilvoc#Soil"/>
    <m/>
    <m/>
    <x v="0"/>
    <x v="0"/>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indicators"/>
    <s v="https://w3id.org/eusoilvoc#SoilIndicators"/>
    <m/>
    <m/>
    <x v="0"/>
    <x v="1"/>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quality"/>
    <s v="https://w3id.org/eusoilvoc#SoilHealth"/>
    <m/>
    <m/>
    <x v="0"/>
    <x v="3"/>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quality"/>
    <s v="https://w3id.org/eusoilvoc#SoilQuality"/>
    <m/>
    <m/>
    <x v="0"/>
    <x v="3"/>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organic carbon"/>
    <s v="https://w3id.org/eusoilvoc#SoilOrganicCarbon"/>
    <m/>
    <m/>
    <x v="0"/>
    <x v="17"/>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organic matter"/>
    <s v="https://w3id.org/eusoilvoc#SoilOrganicMatter"/>
    <m/>
    <m/>
    <x v="0"/>
    <x v="5"/>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degradation"/>
    <s v="https://w3id.org/eusoilvoc#SoilDegradation"/>
    <m/>
    <m/>
    <x v="0"/>
    <x v="6"/>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erosion"/>
    <s v="https://w3id.org/eusoilvoc#SoilErosion"/>
    <m/>
    <m/>
    <x v="0"/>
    <x v="7"/>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biodiversity loss"/>
    <s v="https://w3id.org/eusoilvoc#SoilBiodiversityLoss"/>
    <m/>
    <m/>
    <x v="0"/>
    <x v="8"/>
    <n v="0"/>
    <n v="0"/>
  </r>
  <r>
    <s v="10.5281/zenodo.15083810"/>
    <s v="A review of existing soil monitoring systems"/>
    <s v="This study addresses main questions when developing a soil monitoring programme and underlines possible ways to harmonize national programmes with EU Soil Observatory"/>
    <s v="en"/>
    <x v="3"/>
    <s v=""/>
    <s v=""/>
    <s v=""/>
    <x v="0"/>
    <s v="soil functions"/>
    <s v="https://w3id.org/eusoilvoc#SoilFunctions"/>
    <m/>
    <m/>
    <x v="0"/>
    <x v="9"/>
    <n v="0"/>
    <n v="0"/>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0"/>
    <s v="post-fires"/>
    <s v="free_keyword"/>
    <s v=""/>
    <x v="0"/>
    <m/>
    <m/>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0"/>
    <s v="0401 agriculture, forestry, and fisheries"/>
    <s v="fos"/>
    <s v=""/>
    <x v="0"/>
    <m/>
    <m/>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0"/>
    <s v="04 agricultural and veterinary sciences"/>
    <s v="fos"/>
    <s v=""/>
    <x v="0"/>
    <m/>
    <m/>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0"/>
    <s v="soil erosion"/>
    <s v="free_keyword"/>
    <s v="https://w3id.org/eusoilvoc#SoilErosion"/>
    <x v="0"/>
    <m/>
    <m/>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0"/>
    <s v="soil"/>
    <s v="free_keyword"/>
    <s v="https://w3id.org/eusoilvoc#Soil"/>
    <x v="0"/>
    <m/>
    <m/>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degradation"/>
    <s v="https://w3id.org/eusoilvoc#SoilDegradation"/>
    <m/>
    <n v="0.747"/>
    <x v="1"/>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rosion"/>
    <s v="https://w3id.org/eusoilvoc#SoilErosion"/>
    <m/>
    <n v="0.67559999999999998"/>
    <x v="2"/>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N loss"/>
    <s v="https://w3id.org/eusoilvoc#SoilNLoss"/>
    <m/>
    <n v="0.29970000000000002"/>
    <x v="3"/>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rosion activity period"/>
    <s v="https://w3id.org/eusoilvoc#SoilErosionActivityPeriod"/>
    <m/>
    <n v="0.26300000000000001"/>
    <x v="4"/>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rosion area affected"/>
    <s v="https://w3id.org/eusoilvoc#SoilErosionAreaAffected"/>
    <m/>
    <n v="0.21240000000000001"/>
    <x v="5"/>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P loss"/>
    <s v="https://w3id.org/eusoilvoc#SoilPLoss"/>
    <m/>
    <n v="0.20669999999999999"/>
    <x v="6"/>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cological degradation"/>
    <s v="https://w3id.org/eusoilvoc#SoilEcologicalDegradation"/>
    <m/>
    <n v="0.19700000000000001"/>
    <x v="7"/>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rosion category"/>
    <s v="https://w3id.org/eusoilvoc#SoilErosionCategory"/>
    <m/>
    <n v="0.1535"/>
    <x v="8"/>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1"/>
    <m/>
    <m/>
    <s v=""/>
    <x v="0"/>
    <s v="soil erosion total area affected"/>
    <s v="https://w3id.org/eusoilvoc#SoilErosionTotalAreaAffected"/>
    <m/>
    <n v="6.0600000000000001E-2"/>
    <x v="9"/>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oil erosion"/>
    <s v="https://w3id.org/eusoilvoc#SoilErosion"/>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oil degradation"/>
    <s v="https://w3id.org/eusoilvoc#SoilDegradation"/>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oil N loss"/>
    <s v="https://w3id.org/eusoilvoc#SoilNLoss"/>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oil P loss"/>
    <s v="https://w3id.org/eusoilvoc#SoilPLoss"/>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erosion"/>
    <s v="https://w3id.org/eusoilvoc#SoilErosion"/>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oil"/>
    <s v="https://w3id.org/eusoilvoc#Soil"/>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urface runoff"/>
    <s v="https://w3id.org/eusoilvoc#SurfaceRunoff"/>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surface runoff"/>
    <s v="https://w3id.org/eusoilvoc#Runoff"/>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runoff"/>
    <s v="https://w3id.org/eusoilvoc#SurfaceRunoff"/>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runoff"/>
    <s v="https://w3id.org/eusoilvoc#Runoff"/>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2"/>
    <m/>
    <m/>
    <s v=""/>
    <x v="0"/>
    <s v="land cover"/>
    <s v="https://w3id.org/eusoilvoc#LandCover"/>
    <m/>
    <m/>
    <x v="0"/>
    <x v="0"/>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oil erosion"/>
    <s v="https://w3id.org/eusoilvoc#SoilErosion"/>
    <m/>
    <m/>
    <x v="0"/>
    <x v="1"/>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oil degradation"/>
    <s v="https://w3id.org/eusoilvoc#SoilDegradation"/>
    <m/>
    <m/>
    <x v="0"/>
    <x v="3"/>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land cover"/>
    <s v="https://w3id.org/eusoilvoc#LandCover"/>
    <m/>
    <m/>
    <x v="0"/>
    <x v="4"/>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urface runoff"/>
    <s v="https://w3id.org/eusoilvoc#SurfaceRunoff"/>
    <m/>
    <m/>
    <x v="0"/>
    <x v="17"/>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urface runoff"/>
    <s v="https://w3id.org/eusoilvoc#Runoff"/>
    <m/>
    <m/>
    <x v="0"/>
    <x v="17"/>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oil erodibility"/>
    <s v="https://w3id.org/eusoilvoc#SoilErodibility"/>
    <m/>
    <m/>
    <x v="0"/>
    <x v="6"/>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slope gradient"/>
    <s v="https://w3id.org/eusoilvoc#SlopeGradient"/>
    <m/>
    <m/>
    <x v="0"/>
    <x v="7"/>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vegetation"/>
    <s v="https://w3id.org/eusoilvoc#Vegetation"/>
    <m/>
    <m/>
    <x v="0"/>
    <x v="8"/>
    <n v="0"/>
    <n v="2"/>
  </r>
  <r>
    <s v="10.5281/zenodo.19336397"/>
    <s v="Global Dataset of cumulative post fire soil erosion estimates (2001–2019)"/>
    <s v="Annual post-fire soil erosion including past fires; Grid shapefile for tiles references + overview.png: 2001–2019 (annual) - 200 m resolution - global extent. Wildfires induce significant disturbances to topsoil properties, increasing surface runoff and accelerating soil erosion. Despite extensive research, a global, spatially explicit quantification of cumulative post-fire erosion has been missing. This dataset addresses that gap by providing annual global estimates of post-fire soil erosion from 2001–2019. Soil loss is quantified using the Revised Universal Soil Loss Equation (RUSLE), where post-fire modifications to cover-management (C)  factors parameterized to acount for burn severity and land cover characteristics after fire. The dataset integrates erosion estimates with spatial information enabling the assessment of cumulative soil degradation driven by repeated burns. This resource supports global-scale analysis of wildfire-induced land degradation and offers a basis for post-fire risk mitigation and policy strategies aligned with Land Degradation Neutrality targets."/>
    <s v="en"/>
    <x v="3"/>
    <s v=""/>
    <s v=""/>
    <s v=""/>
    <x v="0"/>
    <s v="precipitation"/>
    <s v="https://w3id.org/eusoilvoc#Precipitation"/>
    <m/>
    <m/>
    <x v="0"/>
    <x v="9"/>
    <n v="0"/>
    <n v="2"/>
  </r>
  <r>
    <s v="10.5281/zenodo.3465229"/>
    <s v="3D geological model reconstruction for liquefaction hazard assessment in the Po Plain"/>
    <s v="Proceedings of the VII ICEGE 7th International Conference on Earthquake Geotechnical Engineering, Rome, Italy, 17-20 June 2019."/>
    <s v="en"/>
    <x v="0"/>
    <s v="3d geological model, liquefaction hazard, earthquake, po plain."/>
    <s v="free_keyword"/>
    <s v=""/>
    <x v="0"/>
    <m/>
    <m/>
    <m/>
    <m/>
    <x v="0"/>
    <x v="0"/>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geology"/>
    <s v="https://w3id.org/eusoilvoc#Geology"/>
    <m/>
    <m/>
    <x v="0"/>
    <x v="1"/>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lithology"/>
    <s v="https://w3id.org/eusoilvoc#Lithology"/>
    <m/>
    <m/>
    <x v="0"/>
    <x v="2"/>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oil shear strength"/>
    <s v="https://w3id.org/eusoilvoc#SoilShearStrength"/>
    <m/>
    <m/>
    <x v="0"/>
    <x v="3"/>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void ratio"/>
    <s v="https://w3id.org/eusoilvoc#VoidRatio"/>
    <m/>
    <m/>
    <x v="0"/>
    <x v="4"/>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groundwater depth"/>
    <s v="https://w3id.org/eusoilvoc#GroundwaterDepth"/>
    <m/>
    <m/>
    <x v="0"/>
    <x v="17"/>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aturated hydraulic conductivity"/>
    <s v="https://w3id.org/eusoilvoc#SaturatedHydraulicConductivity"/>
    <m/>
    <m/>
    <x v="0"/>
    <x v="5"/>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oil porosity"/>
    <s v="https://w3id.org/eusoilvoc#SoilPorosity"/>
    <m/>
    <m/>
    <x v="0"/>
    <x v="6"/>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oil compressibility"/>
    <s v="https://w3id.org/eusoilvoc#SoilCompressibility"/>
    <m/>
    <m/>
    <x v="0"/>
    <x v="7"/>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oil settlement"/>
    <s v="https://w3id.org/eusoilvoc#SoilSettlement"/>
    <m/>
    <m/>
    <x v="0"/>
    <x v="8"/>
    <n v="0"/>
    <n v="0"/>
  </r>
  <r>
    <s v="10.5281/zenodo.3465229"/>
    <s v="3D geological model reconstruction for liquefaction hazard assessment in the Po Plain"/>
    <s v="Proceedings of the VII ICEGE 7th International Conference on Earthquake Geotechnical Engineering, Rome, Italy, 17-20 June 2019."/>
    <s v="en"/>
    <x v="3"/>
    <s v=""/>
    <s v=""/>
    <s v=""/>
    <x v="0"/>
    <s v="soil particle size distribution"/>
    <s v="https://w3id.org/eusoilvoc#SoilParticleSizeDistribution"/>
    <m/>
    <m/>
    <x v="0"/>
    <x v="9"/>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0"/>
    <s v="2. zero hunger"/>
    <s v="sdg"/>
    <s v=""/>
    <x v="0"/>
    <m/>
    <m/>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0"/>
    <s v="15. life on land"/>
    <s v="sdg"/>
    <s v=""/>
    <x v="0"/>
    <m/>
    <m/>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0"/>
    <s v="12. responsible consumption"/>
    <s v="sdg"/>
    <s v=""/>
    <x v="0"/>
    <m/>
    <m/>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0"/>
    <s v="0401 agriculture, forestry, and fisheries"/>
    <s v="fos"/>
    <s v=""/>
    <x v="0"/>
    <m/>
    <m/>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0"/>
    <s v="04 agricultural and veterinary sciences"/>
    <s v="fos"/>
    <s v=""/>
    <x v="0"/>
    <m/>
    <m/>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1"/>
    <m/>
    <m/>
    <s v=""/>
    <x v="0"/>
    <s v="soil management"/>
    <s v="https://w3id.org/eusoilvoc#SoilManagement"/>
    <m/>
    <n v="0.60599999999999998"/>
    <x v="1"/>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1"/>
    <m/>
    <m/>
    <s v=""/>
    <x v="0"/>
    <s v="soil indicators"/>
    <s v="https://w3id.org/eusoilvoc#SoilIndicators"/>
    <m/>
    <n v="0.1082"/>
    <x v="2"/>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1"/>
    <m/>
    <m/>
    <s v=""/>
    <x v="0"/>
    <s v="soil function indicators"/>
    <s v="https://w3id.org/eusoilvoc#SoilFunctionIndicators"/>
    <m/>
    <n v="6.7100000000000007E-2"/>
    <x v="3"/>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2"/>
    <m/>
    <m/>
    <s v=""/>
    <x v="0"/>
    <s v="soil management"/>
    <s v="https://w3id.org/eusoilvoc#SoilManagement"/>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2"/>
    <m/>
    <m/>
    <s v=""/>
    <x v="0"/>
    <s v="soil"/>
    <s v="https://w3id.org/eusoilvoc#Soil"/>
    <m/>
    <m/>
    <x v="0"/>
    <x v="0"/>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management"/>
    <s v="https://w3id.org/eusoilvoc#SoilManagement"/>
    <m/>
    <m/>
    <x v="0"/>
    <x v="1"/>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agricultural sustainability"/>
    <s v="https://w3id.org/eusoilvoc#AgriculturalSustainability"/>
    <m/>
    <m/>
    <x v="0"/>
    <x v="2"/>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conservation tillage"/>
    <s v="https://w3id.org/eusoilvoc#ConservationTillage"/>
    <m/>
    <m/>
    <x v="0"/>
    <x v="3"/>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health"/>
    <s v="https://w3id.org/eusoilvoc#SoilHealth"/>
    <m/>
    <m/>
    <x v="0"/>
    <x v="4"/>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health"/>
    <s v="https://w3id.org/eusoilvoc#SoilQuality"/>
    <m/>
    <m/>
    <x v="0"/>
    <x v="4"/>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ecosystem services"/>
    <s v="https://w3id.org/eusoilvoc#EcosystemServices"/>
    <m/>
    <m/>
    <x v="0"/>
    <x v="5"/>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functions"/>
    <s v="https://w3id.org/eusoilvoc#SoilFunctions"/>
    <m/>
    <m/>
    <x v="0"/>
    <x v="6"/>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land use"/>
    <s v="https://w3id.org/eusoilvoc#LandUse"/>
    <m/>
    <m/>
    <x v="0"/>
    <x v="7"/>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degradation"/>
    <s v="https://w3id.org/eusoilvoc#SoilDegradation"/>
    <m/>
    <m/>
    <x v="0"/>
    <x v="8"/>
    <n v="0"/>
    <n v="0"/>
  </r>
  <r>
    <s v="10.5281/zenodo.7705060"/>
    <s v="Dataset: Strauss et al. 2023 Sustainable soil management measures: a synthesis of stakeholder recommendations"/>
    <s v="The provided dataset contains the used information for the scientific publication Strauss, V., Paul, C., Dönmez, C., Löbmann, M., &amp;amp; Helming, K. (2023). Sustainable soil management measures: a synthesis of stakeholder recommendations. &lt;em&gt;Agronomy for Sustainable Development&lt;/em&gt;, &lt;em&gt;43&lt;/em&gt;(1), 17 Due to the assessment language, parts of the dataset are in German. Specifically, it contains: - Stakeholder documents (welche ausgewertet wurden) &amp;amp; Einteilung in Stakeholder Groups&lt;br&gt; - Erfassung der Aussagen &amp;amp; Kategorisierung&lt;br&gt; - Auswertung zur Longlist&lt;br&gt; - Ergebnisse der Farmer Survey"/>
    <s v="en"/>
    <x v="3"/>
    <s v=""/>
    <s v=""/>
    <s v=""/>
    <x v="0"/>
    <s v="soil threats"/>
    <s v="https://w3id.org/eusoilvoc#SoilThreats"/>
    <m/>
    <m/>
    <x v="0"/>
    <x v="9"/>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pH"/>
    <s v="https://w3id.org/eusoilvoc#SoilpH"/>
    <b v="1"/>
    <n v="0.92490000000000006"/>
    <x v="1"/>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depth sampled"/>
    <s v="https://w3id.org/eusoilvoc#SoilDepthSampled"/>
    <m/>
    <n v="0.4718"/>
    <x v="2"/>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aggregate size distribution"/>
    <s v="https://w3id.org/eusoilvoc#SoilAggregateSizeDistribution"/>
    <m/>
    <n v="0.2984"/>
    <x v="3"/>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aggregate degree"/>
    <s v="https://w3id.org/eusoilvoc#SoilAggregateDegree"/>
    <m/>
    <n v="0.16289999999999999"/>
    <x v="4"/>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density"/>
    <s v="https://w3id.org/eusoilvoc#SoilDensity"/>
    <m/>
    <n v="0.11749999999999999"/>
    <x v="5"/>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relative density"/>
    <s v="https://w3id.org/eusoilvoc#SoilRelativeDensity"/>
    <m/>
    <n v="5.8900000000000001E-2"/>
    <x v="6"/>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1"/>
    <m/>
    <m/>
    <s v=""/>
    <x v="0"/>
    <s v="soil true density"/>
    <s v="https://w3id.org/eusoilvoc#SoilTrueDensity"/>
    <m/>
    <n v="5.04E-2"/>
    <x v="7"/>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2"/>
    <m/>
    <m/>
    <s v=""/>
    <x v="0"/>
    <s v="soil pH"/>
    <s v="https://w3id.org/eusoilvoc#SoilpH"/>
    <b v="1"/>
    <m/>
    <x v="0"/>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2"/>
    <m/>
    <m/>
    <s v=""/>
    <x v="0"/>
    <s v="soil"/>
    <s v="https://w3id.org/eusoilvoc#Soil"/>
    <m/>
    <m/>
    <x v="0"/>
    <x v="0"/>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3"/>
    <s v=""/>
    <s v=""/>
    <s v=""/>
    <x v="0"/>
    <s v="soil pH"/>
    <s v="https://w3id.org/eusoilvoc#SoilpH"/>
    <m/>
    <m/>
    <x v="0"/>
    <x v="1"/>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3"/>
    <s v=""/>
    <s v=""/>
    <s v=""/>
    <x v="0"/>
    <s v="soil depth"/>
    <s v="https://w3id.org/eusoilvoc#SoilDepth"/>
    <m/>
    <m/>
    <x v="0"/>
    <x v="2"/>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3"/>
    <s v=""/>
    <s v=""/>
    <s v=""/>
    <x v="0"/>
    <s v="soil chemical property"/>
    <s v="https://w3id.org/eusoilvoc#SoilChemicalProperties"/>
    <m/>
    <m/>
    <x v="0"/>
    <x v="3"/>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3"/>
    <s v=""/>
    <s v=""/>
    <s v=""/>
    <x v="0"/>
    <s v="soil property"/>
    <s v="https://w3id.org/eusoilvoc#SoilProperties"/>
    <m/>
    <m/>
    <x v="0"/>
    <x v="17"/>
    <n v="0"/>
    <n v="0"/>
  </r>
  <r>
    <s v="4a244ff3-bd55-4d99-9943-26e799cf56cb"/>
    <s v="SoilGrids250m 2.0 - Soil pH in H2O aggregated 5000m"/>
    <s v="Soil pH x 10 in H2O at 6 standard depths (to convert to pH values divide by 10). Predictions were derived using a digital soil mapping approach based on Quantile Random Forest, drawing on a global compilation of soil profile data and environmental layers. This map is the result of resampling the mean SoilGrids 250 m predictions (Poggio et al. 2021) for each 5000 m cell."/>
    <s v="en"/>
    <x v="3"/>
    <s v=""/>
    <s v=""/>
    <s v=""/>
    <x v="0"/>
    <s v="soil"/>
    <s v="https://w3id.org/eusoilvoc#Soil"/>
    <m/>
    <m/>
    <x v="0"/>
    <x v="6"/>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1"/>
    <m/>
    <m/>
    <s v=""/>
    <x v="0"/>
    <s v="soil depth sampled"/>
    <s v="https://w3id.org/eusoilvoc#SoilDepthSampled"/>
    <m/>
    <n v="7.0499999999999993E-2"/>
    <x v="1"/>
    <x v="0"/>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1"/>
    <m/>
    <m/>
    <s v=""/>
    <x v="0"/>
    <s v="mineral concentration"/>
    <s v="https://w3id.org/eusoilvoc#MineralConcentration"/>
    <m/>
    <n v="5.1700000000000003E-2"/>
    <x v="2"/>
    <x v="0"/>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trace elements"/>
    <s v="https://w3id.org/eusoilvoc#Micronutrients"/>
    <m/>
    <m/>
    <x v="0"/>
    <x v="1"/>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geology"/>
    <s v="https://w3id.org/eusoilvoc#Geology"/>
    <m/>
    <m/>
    <x v="0"/>
    <x v="2"/>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parent material"/>
    <s v="https://w3id.org/eusoilvoc#ParentMaterial"/>
    <m/>
    <m/>
    <x v="0"/>
    <x v="3"/>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lithology"/>
    <s v="https://w3id.org/eusoilvoc#Lithology"/>
    <m/>
    <m/>
    <x v="0"/>
    <x v="4"/>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soil"/>
    <s v="https://w3id.org/eusoilvoc#Soil"/>
    <m/>
    <m/>
    <x v="0"/>
    <x v="17"/>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mineral content"/>
    <s v="https://w3id.org/eusoilvoc#MineralContents"/>
    <m/>
    <m/>
    <x v="0"/>
    <x v="5"/>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soil chemical properties"/>
    <s v="https://w3id.org/eusoilvoc#SoilChemicalProperties"/>
    <m/>
    <m/>
    <x v="0"/>
    <x v="7"/>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soil chemical processes"/>
    <s v="https://w3id.org/eusoilvoc#SoilChemicalProcesses"/>
    <m/>
    <m/>
    <x v="0"/>
    <x v="8"/>
    <n v="0"/>
    <n v="0"/>
  </r>
  <r>
    <s v="57c27a06-cf9d-4e12-bb31-3ff1b57a3ffe"/>
    <s v="Regional till geochemistry"/>
    <s v="The data set give information on the concentrations of ca. 25 elements in unaltered basal till. The samples have been taken, during 1983-1991, from the unaltered basal till (horizon C) below the groundwater table at a depth of ca. 1.5-2 m with a density of one sample per four square kilometres. The data set covers the whole of Finland with 82 062 samples in total. The samples are composite field samples: the recorded coordinates of the sample points in the data is a calculated centroid for three to five subsamples. The subsamples may also be mixed samples from a linear moraine (till). For the analysis, a fraction with grain size under 0.06 mm has been sieved from the samples. The aqua regia extractable concentrations of ca. 25 elements have been determined. The data has been published as a set of 1:400 000 maps. The number of elements published is 22-26 depending on map sheet."/>
    <s v="en"/>
    <x v="3"/>
    <s v=""/>
    <s v=""/>
    <s v=""/>
    <x v="0"/>
    <s v="soil chemical function"/>
    <s v="https://w3id.org/eusoilvoc#SoilChemicalFunctions"/>
    <m/>
    <m/>
    <x v="0"/>
    <x v="9"/>
    <n v="0"/>
    <n v="0"/>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eea39"/>
    <s v="place"/>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european"/>
    <s v="other"/>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 cover"/>
    <s v="gemet"/>
    <s v="https://w3id.org/eusoilvoc#LandCover"/>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scape"/>
    <s v="gemet"/>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
    <s v="gemet"/>
    <s v="https://w3id.org/eusoilvoc#LandUse"/>
    <x v="3"/>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built environment"/>
    <s v="gemet"/>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soil surface sealing"/>
    <s v="gemet"/>
    <s v="https://w3id.org/eusoilvoc#SoilSurfaceSealing"/>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urban area"/>
    <s v="gemet"/>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 cover"/>
    <s v="gemet"/>
    <s v="https://w3id.org/eusoilvoc#LandCover"/>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sealing"/>
    <s v="gemet"/>
    <s v="https://w3id.org/eusoilvoc#SoilSealing"/>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 use"/>
    <s v="gemet"/>
    <s v="https://w3id.org/eusoilvoc#LandUse"/>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scape alteration"/>
    <s v="gemet"/>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land use"/>
    <s v="eea"/>
    <s v="https://w3id.org/eusoilvoc#LandUse"/>
    <x v="2"/>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agriculture and food"/>
    <s v="eea"/>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biodiversity"/>
    <s v="eea"/>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2020 3.6.7"/>
    <s v="eea"/>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eea38 (from 2020)"/>
    <s v="place"/>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0"/>
    <s v="united kingdom"/>
    <s v="place"/>
    <s v=""/>
    <x v="0"/>
    <m/>
    <m/>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1"/>
    <m/>
    <m/>
    <s v=""/>
    <x v="2"/>
    <s v="vegetation types"/>
    <s v="https://w3id.org/eusoilvoc#Vegetation"/>
    <m/>
    <n v="0.3624"/>
    <x v="1"/>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1"/>
    <m/>
    <m/>
    <s v=""/>
    <x v="2"/>
    <s v="ecosystem services"/>
    <s v="https://w3id.org/eusoilvoc#EcosystemServices"/>
    <m/>
    <n v="0.15509999999999999"/>
    <x v="2"/>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1"/>
    <m/>
    <m/>
    <s v=""/>
    <x v="2"/>
    <s v="plant cover"/>
    <s v="https://w3id.org/eusoilvoc#PlantCover"/>
    <m/>
    <n v="8.14E-2"/>
    <x v="3"/>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1"/>
    <m/>
    <m/>
    <s v=""/>
    <x v="2"/>
    <s v="land use shrubs"/>
    <s v="https://w3id.org/eusoilvoc#LandUseShrubs"/>
    <m/>
    <n v="5.8200000000000002E-2"/>
    <x v="4"/>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2"/>
    <m/>
    <m/>
    <s v=""/>
    <x v="2"/>
    <s v="vegetation"/>
    <s v="https://w3id.org/eusoilvoc#Vegetation"/>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2"/>
    <m/>
    <m/>
    <s v=""/>
    <x v="2"/>
    <s v="climate"/>
    <s v="https://w3id.org/eusoilvoc#Climate"/>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2"/>
    <m/>
    <m/>
    <s v=""/>
    <x v="2"/>
    <s v="trees"/>
    <s v="https://w3id.org/eusoilvoc#Trees"/>
    <m/>
    <m/>
    <x v="0"/>
    <x v="0"/>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trees"/>
    <s v="https://w3id.org/eusoilvoc#Trees"/>
    <m/>
    <m/>
    <x v="0"/>
    <x v="1"/>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land use shrubs"/>
    <s v="https://w3id.org/eusoilvoc#LandUseShrubs"/>
    <m/>
    <m/>
    <x v="0"/>
    <x v="2"/>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vegetation"/>
    <s v="https://w3id.org/eusoilvoc#Vegetation"/>
    <m/>
    <m/>
    <x v="0"/>
    <x v="3"/>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land cover"/>
    <s v="https://w3id.org/eusoilvoc#LandCover"/>
    <m/>
    <m/>
    <x v="0"/>
    <x v="4"/>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tree density"/>
    <s v="https://w3id.org/eusoilvoc#TreeDensity"/>
    <m/>
    <m/>
    <x v="0"/>
    <x v="17"/>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3"/>
    <s v="carbon pools"/>
    <s v="https://w3id.org/eusoilvoc#CarbonPools"/>
    <m/>
    <m/>
    <x v="0"/>
    <x v="5"/>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3"/>
    <s v="climate regulation"/>
    <s v="https://w3id.org/eusoilvoc#ClimateRegulation"/>
    <m/>
    <m/>
    <x v="0"/>
    <x v="6"/>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3"/>
    <s v="agricultural sustainability"/>
    <s v="https://w3id.org/eusoilvoc#AgriculturalSustainability"/>
    <m/>
    <m/>
    <x v="0"/>
    <x v="7"/>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ecosystem services"/>
    <s v="https://w3id.org/eusoilvoc#EcosystemServices"/>
    <m/>
    <m/>
    <x v="0"/>
    <x v="8"/>
    <n v="24"/>
    <n v="7"/>
  </r>
  <r>
    <s v="copernicus_hrl-small-landscape-features_s,DAT-237-en"/>
    <s v="HRL Small Landscape Features"/>
    <s v="The High Resolution Layer Small Landscape Features provides detailed information about woody vegetation (hedgerows, shrubs, lines and small clusters of trees) at a pan-European level. These features are categorized based on their linear or patchy elements, offering insights into landscape structure and vegetation density. _x000a_ _x000a_Small Landscape Features is available in high resolution with updates provided on three-year cycle for the 2015, 2018 and 2021 reference years. It is well-suited to enhance understanding of landscapes, support biodiversity and carbon sequestration assessments, inform sustainable land management practices, and aid in climate change mitigation strategies.  _x000a__x000a_The former Woody Vegetation Mask is now offered as a new Woody Vegetation Layer. This new layer maps the presence or absence of woody vegetation of any type without any differentiation of height, size or nature and without masking forested areas including isolated trees or permanent crops such as orchards. _x000a__x000a_Small Woody Features (now a status layer) is referred to as Small Landscape Features, reflecting ambitions to move towards mapping non-woody elements in the future. This is still under development, with additional non-woody elements being assessed in test phases prior to potential integration.  _x000a__x000a_High Resolution Layer Small Landscape Features is part of the European Union’s Copernicus Land Monitoring Service."/>
    <s v="en"/>
    <x v="3"/>
    <s v=""/>
    <s v=""/>
    <s v=""/>
    <x v="2"/>
    <s v="habitat"/>
    <s v="https://w3id.org/eusoilvoc#Habitats"/>
    <m/>
    <m/>
    <x v="0"/>
    <x v="9"/>
    <n v="24"/>
    <n v="7"/>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function indicator"/>
    <s v="https://w3id.org/eusoilvoc#SoilFunctionIndicators"/>
    <m/>
    <n v="0.95169999999999999"/>
    <x v="1"/>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quality"/>
    <s v="https://w3id.org/eusoilvoc#SoilHealth"/>
    <m/>
    <n v="0.77390000000000003"/>
    <x v="2"/>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quality"/>
    <s v="https://w3id.org/eusoilvoc#SoilQuality"/>
    <m/>
    <n v="0.77390000000000003"/>
    <x v="3"/>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indicator"/>
    <s v="https://w3id.org/eusoilvoc#SoilIndicators"/>
    <m/>
    <n v="0.33889999999999998"/>
    <x v="4"/>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physical quality"/>
    <s v="https://w3id.org/eusoilvoc#SoilPhysicalQuality"/>
    <m/>
    <n v="0.26469999999999999"/>
    <x v="5"/>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environmental function"/>
    <s v="https://w3id.org/eusoilvoc#SoilEnvironmentalFunctions"/>
    <m/>
    <n v="0.10580000000000001"/>
    <x v="6"/>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1"/>
    <m/>
    <m/>
    <s v=""/>
    <x v="0"/>
    <s v="soil management"/>
    <s v="https://w3id.org/eusoilvoc#SoilManagement"/>
    <m/>
    <n v="5.2600000000000001E-2"/>
    <x v="7"/>
    <x v="0"/>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quality"/>
    <s v="https://w3id.org/eusoilvoc#SoilHealth"/>
    <m/>
    <m/>
    <x v="0"/>
    <x v="1"/>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quality"/>
    <s v="https://w3id.org/eusoilvoc#SoilQuality"/>
    <m/>
    <m/>
    <x v="0"/>
    <x v="1"/>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function"/>
    <s v="https://w3id.org/eusoilvoc#SoilFunctions"/>
    <m/>
    <m/>
    <x v="0"/>
    <x v="2"/>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management"/>
    <s v="https://w3id.org/eusoilvoc#SoilManagement"/>
    <m/>
    <m/>
    <x v="0"/>
    <x v="3"/>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chemical properties"/>
    <s v="https://w3id.org/eusoilvoc#SoilChemicalProperties"/>
    <m/>
    <m/>
    <x v="0"/>
    <x v="4"/>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indicator"/>
    <s v="https://w3id.org/eusoilvoc#SoilIndicators"/>
    <m/>
    <m/>
    <x v="0"/>
    <x v="5"/>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type"/>
    <s v="https://w3id.org/eusoilvoc#SoilTypes"/>
    <m/>
    <m/>
    <x v="0"/>
    <x v="6"/>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land use"/>
    <s v="https://w3id.org/eusoilvoc#LandUse"/>
    <m/>
    <m/>
    <x v="0"/>
    <x v="7"/>
    <n v="0"/>
    <n v="0"/>
  </r>
  <r>
    <s v="d4608f62-da32-4ee6-b432-386c01871ee1"/>
    <s v="Bodemfunctiekaart Zeeland"/>
    <s v="De Bodemkwaliteitskaart (bkk) is een gemeentelijke kaart, die de algemene chemische bodemkwaliteit van een gebied beschrijft. De kaart bestaat uit drie kaartlagen: de functiekaart, bodemkwaliteitskaart en de toepassingskaart. _x000a_Elke gemeente heeft een Nota Bodembeheer, waar de kaart bestuurlijk in is vastgesteld en verankerd. Per gemeente zijn dan ook nuance verschillen in kaart mogelijk. Deze kaart is samengesteld uit alle beschikbare bkk's van de Zeeuwse gemeenten._x000a_De bodemkwaliteitskaart wordt primair gebruikt om grondverzet op een efficiënte, kosteneffectieve en milieu hygiënisch verantwoorde manier mogelijk maken."/>
    <s v="nl"/>
    <x v="3"/>
    <s v=""/>
    <s v=""/>
    <s v=""/>
    <x v="0"/>
    <s v="soil classification"/>
    <s v="https://w3id.org/eusoilvoc#SoilClassification"/>
    <m/>
    <m/>
    <x v="0"/>
    <x v="8"/>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1"/>
    <m/>
    <m/>
    <s v=""/>
    <x v="0"/>
    <s v="soil erodibility index"/>
    <s v="https://w3id.org/eusoilvoc#SoilErodibilityIndex"/>
    <m/>
    <n v="0.4592"/>
    <x v="1"/>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1"/>
    <m/>
    <m/>
    <s v=""/>
    <x v="0"/>
    <s v="soil indicators"/>
    <s v="https://w3id.org/eusoilvoc#SoilIndicators"/>
    <m/>
    <n v="0.30859999999999999"/>
    <x v="2"/>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1"/>
    <m/>
    <m/>
    <s v=""/>
    <x v="0"/>
    <s v="soil erodibility"/>
    <s v="https://w3id.org/eusoilvoc#SoilErodibility"/>
    <m/>
    <n v="0.16200000000000001"/>
    <x v="3"/>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1"/>
    <m/>
    <m/>
    <s v=""/>
    <x v="0"/>
    <s v="soil function indicators"/>
    <s v="https://w3id.org/eusoilvoc#SoilFunctionIndicators"/>
    <m/>
    <n v="9.2700000000000005E-2"/>
    <x v="4"/>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1"/>
    <m/>
    <m/>
    <s v=""/>
    <x v="0"/>
    <s v="soil intrinsic permeability"/>
    <s v="https://w3id.org/eusoilvoc#SoilIntrinsicPermeability"/>
    <m/>
    <n v="6.5299999999999997E-2"/>
    <x v="5"/>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2"/>
    <m/>
    <m/>
    <s v=""/>
    <x v="0"/>
    <s v="soil"/>
    <s v="https://w3id.org/eusoilvoc#Soil"/>
    <m/>
    <m/>
    <x v="0"/>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2"/>
    <m/>
    <m/>
    <s v=""/>
    <x v="0"/>
    <s v="soil sealing"/>
    <s v="https://w3id.org/eusoilvoc#SoilSealing"/>
    <m/>
    <m/>
    <x v="0"/>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2"/>
    <m/>
    <m/>
    <s v=""/>
    <x v="0"/>
    <s v="land cover"/>
    <s v="https://w3id.org/eusoilvoc#LandCover"/>
    <m/>
    <m/>
    <x v="0"/>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2"/>
    <m/>
    <m/>
    <s v=""/>
    <x v="0"/>
    <s v="vegetation"/>
    <s v="https://w3id.org/eusoilvoc#Vegetation"/>
    <m/>
    <m/>
    <x v="0"/>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2"/>
    <m/>
    <m/>
    <s v=""/>
    <x v="0"/>
    <s v="input"/>
    <s v="https://w3id.org/eusoilvoc#Inputs"/>
    <m/>
    <m/>
    <x v="0"/>
    <x v="0"/>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3"/>
    <s v=""/>
    <s v=""/>
    <s v=""/>
    <x v="0"/>
    <s v="soil sealing"/>
    <s v="https://w3id.org/eusoilvoc#SoilSealing"/>
    <m/>
    <m/>
    <x v="0"/>
    <x v="1"/>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3"/>
    <s v=""/>
    <s v=""/>
    <s v=""/>
    <x v="0"/>
    <s v="land cover"/>
    <s v="https://w3id.org/eusoilvoc#LandCover"/>
    <m/>
    <m/>
    <x v="0"/>
    <x v="2"/>
    <n v="0"/>
    <n v="0"/>
  </r>
  <r>
    <s v="eea_r_3035_100_m_imd-2009-acc_p_2008-2010_v01_r03"/>
    <s v="High Resolution Layer: Imperviousness Density 2009 (raster 100m) accounting layer, Jan. 2019"/>
    <s v="The current dataset was derived from original Copernicus High Resolution Layer Imperviousness Density 2009 product product for the purposes of imperviousness indicator (LSI002) calculations within the EEA LEAC CUBE environment. The dataset is also input to the imperviousness indicator itself. _x000a__x000a_The high resolution imperviousness products capture the percentage and change of soil sealing. Built-up areas are characterized by the substitution of the original (semi-) natural land cover or water surface with an artificial, often impervious cover. These artificial surfaces are usually maintained over long periods of time. A series of high resolution imperviousness datasets (for the 2006, 2009, 2012 and 2015 reference years) with all artificially sealed areas was produced using automatic derivation based on calibrated Normalized Difference Vegetation Index (NDVI). This series of imperviousness layers constitutes the main status layers. They are per-pixel estimates of impermeable cover of soil (soil sealing) and are mapped as the degree of imperviousness (0-100%). Imperviousness change layers were produced as a difference between the reference years (2006-2009, 2009-2012, 2012-2015 and additionally 2006-2012, to fully match the CORINE Land Cover production cycle) and are presented 1) as degree of imperviousness change (100% - +100%), in 20m and 100m pixel size, and 2) a classified (categorical) 20m change product. The latest version (published: 15/01/2019) of 100m resolution imperviousness status layers represents a time series consistent with 100m resolution imperviousness change layers - the cell by cell difference of the degree of imperviousness status corresponds to the degree of imperviousness change. The production of the High Resolution Imperviousness products was coordinated by the European Environment Agency in the frame of the EU Copernicus programme."/>
    <s v="en"/>
    <x v="3"/>
    <s v=""/>
    <s v=""/>
    <s v=""/>
    <x v="0"/>
    <s v="soil"/>
    <s v="https://w3id.org/eusoilvoc#Soil"/>
    <m/>
    <m/>
    <x v="0"/>
    <x v="3"/>
    <n v="0"/>
    <n v="0"/>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españa"/>
    <s v="place"/>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nacional"/>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1.3.0"/>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wms"/>
    <s v="other"/>
    <s v="https://w3id.org/eusoilvoc#moistureContentProcedure-VMC_ud"/>
    <x v="3"/>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ogc"/>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infomanagementservice"/>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servicio de gestión de modelos/información geográficos"/>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servicio de acceso a mapas"/>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infomapaccessservice"/>
    <s v="other"/>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idee"/>
    <s v="none"/>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cartografía"/>
    <s v="none"/>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mapama"/>
    <s v="none"/>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view"/>
    <s v="none"/>
    <s v=""/>
    <x v="0"/>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suelo"/>
    <s v="other"/>
    <s v="https://w3id.org/eusoilvoc#Soil"/>
    <x v="2"/>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soil"/>
    <s v="other"/>
    <s v="https://w3id.org/eusoilvoc#Soil"/>
    <x v="2"/>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0"/>
    <s v="erosión"/>
    <s v="other"/>
    <s v="https://w3id.org/eusoilvoc#SoilErosion"/>
    <x v="2"/>
    <m/>
    <m/>
    <m/>
    <m/>
    <x v="0"/>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2"/>
    <s v="soil erosion"/>
    <s v="https://w3id.org/eusoilvoc#SoilErosion"/>
    <m/>
    <n v="0.61450000000000005"/>
    <x v="1"/>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2"/>
    <s v="soil erosion category"/>
    <s v="https://w3id.org/eusoilvoc#SoilErosionCategory"/>
    <m/>
    <n v="0.3947"/>
    <x v="2"/>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2"/>
    <s v="soil erosion area affected"/>
    <s v="https://w3id.org/eusoilvoc#SoilErosionAreaAffected"/>
    <m/>
    <n v="0.28210000000000002"/>
    <x v="3"/>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2"/>
    <s v="soil erosion degree"/>
    <s v="https://w3id.org/eusoilvoc#SoilErosionDegree"/>
    <m/>
    <n v="0.25650000000000001"/>
    <x v="4"/>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3"/>
    <s v="soil erosion activity period"/>
    <s v="https://w3id.org/eusoilvoc#SoilErosionActivityPeriod"/>
    <m/>
    <n v="0.1888"/>
    <x v="5"/>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3"/>
    <s v="soil water characteristic"/>
    <s v="https://w3id.org/eusoilvoc#SoilWaterCharacteristics"/>
    <m/>
    <n v="0.10390000000000001"/>
    <x v="6"/>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1"/>
    <m/>
    <m/>
    <s v=""/>
    <x v="2"/>
    <s v="soil erosion total area affected"/>
    <s v="https://w3id.org/eusoilvoc#SoilErosionTotalAreaAffected"/>
    <m/>
    <n v="6.9099999999999995E-2"/>
    <x v="7"/>
    <x v="0"/>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erosion"/>
    <s v="https://w3id.org/eusoilvoc#SoilErosion"/>
    <m/>
    <m/>
    <x v="0"/>
    <x v="1"/>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3"/>
    <s v="lithology"/>
    <s v="https://w3id.org/eusoilvoc#Lithology"/>
    <m/>
    <m/>
    <x v="0"/>
    <x v="3"/>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slope"/>
    <s v="https://w3id.org/eusoilvoc#Slope"/>
    <m/>
    <m/>
    <x v="0"/>
    <x v="4"/>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precipitation"/>
    <s v="https://w3id.org/eusoilvoc#Precipitation"/>
    <m/>
    <m/>
    <x v="0"/>
    <x v="17"/>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soil erosion category"/>
    <s v="https://w3id.org/eusoilvoc#SoilErosionCategory"/>
    <m/>
    <m/>
    <x v="0"/>
    <x v="6"/>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soil erosion degree"/>
    <s v="https://w3id.org/eusoilvoc#SoilErosionDegree"/>
    <m/>
    <m/>
    <x v="0"/>
    <x v="7"/>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runoff"/>
    <s v="https://w3id.org/eusoilvoc#SurfaceRunoff"/>
    <m/>
    <m/>
    <x v="0"/>
    <x v="8"/>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2"/>
    <s v="runoff"/>
    <s v="https://w3id.org/eusoilvoc#Runoff"/>
    <m/>
    <m/>
    <x v="0"/>
    <x v="8"/>
    <n v="20"/>
    <n v="4"/>
  </r>
  <r>
    <s v="http://data.europa.eu/88u/dataset/f6370904-e1ac-49be-b874-e400170d3769"/>
    <s v="Servicio WMS (Web Map Service)Inventario Nacional de Erosión de Suelos (2002-2019). Erosión en cauces"/>
    <s v="El Servicio Web de Mapas denominado Inventario Nacional de Erosión de Suelos (2002-2019) Erosión en cauces, permite la visualización y consulta de la evolución de los fenómenos erosivos, con el fin último de delimitar con la mayor exactitud posible las áreas prioritarias de actuación en la lucha contra la erosión, así como definir y valorar las actuaciones a llevar a cabo, dentro de los planes y programas cuya elaboración atribuye igualmente el Real Decreto 1415/2000 (derogado), por el que se establece la estructura orgánica del Ministerio de Medio Ambiente. El riesgo de erosión en cauces se clasifica por unidades hidrológicas según niveles cualitativos, determinado a partir de la pendiente, litología, geomorfología, intensidad de precipitación, erosión laminar, movimientos en masa, erosión en laderas y erosión en laderas con pluviometría. Permite la clasificación cualitativa de unidades hidrológicas según susceptibilidad de sufrir fenómenos torrenciales en su red de drenaje_x000a__x0009__x0009__x0009__x0009_La URL del Servicio WMS Erosión en cauces es: https://wms.mapama.gob.es/sig/Biodiversidad/INESErosionCauces_x000a__x0009__x0009__x0009__x0009_Los sistemas de referencia que ofrece este servicio son: _x000a__x0009__x0009__x0009__x0009_- Para coordenadas geográficas: CRS: 84, EPSG:4230 (ED50), EPSG:4326 (WGS 84), EPSG:4258 (ETRS 89). _x000a__x0009__x0009__x0009__x0009_- Para coordenadas U.T.M: EPSG:32628 (WGS 84 / UTM zone 28N), EPSG:32629 (WGS 84 / UTM zone 29N), EPSG:32630 (WGS 84 / UTM zone 30N), EPSG:32631 (WGS 84 / UTM zone 31N), EPSG:25828 (ETRS 89 / UTM zone 28N), EPSG:25829 (ETRS 89 / UTM zone 29N), EPSG:25830 (ETRS 89 / UTM zone 30N), EPSG:25831 (ETRS 89 / UTM zone 31N), EPSG:23028 (ED50 / UTM zone 28N), EPSG:23029 (ED50 / UTM zone 29N), EPSG:23030 (ED50 / UTM zone 30N), EPSG:23031 (ED50 / UTM zone 31N)."/>
    <s v="es"/>
    <x v="3"/>
    <s v=""/>
    <s v=""/>
    <s v=""/>
    <x v="3"/>
    <s v="soil erosion area affected"/>
    <s v="https://w3id.org/eusoilvoc#SoilErosionAreaAffected"/>
    <m/>
    <m/>
    <x v="0"/>
    <x v="9"/>
    <n v="20"/>
    <n v="4"/>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soil nutrient content"/>
    <s v="https://w3id.org/eusoilvoc#SoilProductivity"/>
    <m/>
    <n v="0.92010000000000003"/>
    <x v="1"/>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soil nutrients"/>
    <s v="https://w3id.org/eusoilvoc#SoilNutrients"/>
    <m/>
    <n v="0.82040000000000002"/>
    <x v="2"/>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soil nutrient availability"/>
    <s v="https://w3id.org/eusoilvoc#SoilNutrientAvailability"/>
    <m/>
    <n v="0.1358"/>
    <x v="3"/>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cations sum"/>
    <s v="https://w3id.org/eusoilvoc#CationSum"/>
    <m/>
    <n v="0.1047"/>
    <x v="4"/>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soil depth sampled"/>
    <s v="https://w3id.org/eusoilvoc#SoilDepthSampled"/>
    <m/>
    <n v="6.2300000000000001E-2"/>
    <x v="5"/>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1"/>
    <m/>
    <m/>
    <s v=""/>
    <x v="0"/>
    <s v="gradient"/>
    <s v="https://w3id.org/eusoilvoc#Slope"/>
    <m/>
    <n v="5.04E-2"/>
    <x v="6"/>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2"/>
    <m/>
    <m/>
    <s v=""/>
    <x v="0"/>
    <s v="soil nutrient content"/>
    <s v="https://w3id.org/eusoilvoc#SoilProductivity"/>
    <m/>
    <m/>
    <x v="0"/>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2"/>
    <m/>
    <m/>
    <s v=""/>
    <x v="0"/>
    <s v="soil nutrient"/>
    <s v="https://w3id.org/eusoilvoc#SoilNutrients"/>
    <m/>
    <m/>
    <x v="0"/>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2"/>
    <m/>
    <m/>
    <s v=""/>
    <x v="0"/>
    <s v="soil"/>
    <s v="https://w3id.org/eusoilvoc#Soil"/>
    <m/>
    <m/>
    <x v="0"/>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2"/>
    <m/>
    <m/>
    <s v=""/>
    <x v="0"/>
    <s v="aluminium"/>
    <s v="https://w3id.org/eusoilvoc#Aluminium"/>
    <m/>
    <m/>
    <x v="0"/>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2"/>
    <m/>
    <m/>
    <s v=""/>
    <x v="0"/>
    <s v="gradient"/>
    <s v="https://w3id.org/eusoilvoc#Slope"/>
    <m/>
    <m/>
    <x v="0"/>
    <x v="0"/>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aluminium extractable element"/>
    <s v="https://w3id.org/eusoilvoc#AluminiumExtractableElements"/>
    <m/>
    <m/>
    <x v="0"/>
    <x v="1"/>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soil nutrients"/>
    <s v="https://w3id.org/eusoilvoc#SoilNutrients"/>
    <m/>
    <m/>
    <x v="0"/>
    <x v="2"/>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soil nutrient content"/>
    <s v="https://w3id.org/eusoilvoc#SoilProductivity"/>
    <m/>
    <m/>
    <x v="0"/>
    <x v="3"/>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aluminium"/>
    <s v="https://w3id.org/eusoilvoc#Aluminium"/>
    <m/>
    <m/>
    <x v="0"/>
    <x v="4"/>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soil depth"/>
    <s v="https://w3id.org/eusoilvoc#SoilDepth"/>
    <m/>
    <m/>
    <x v="0"/>
    <x v="17"/>
    <n v="0"/>
    <n v="0"/>
  </r>
  <r>
    <s v="https://data.isric.org/geonetwork/srv/fre/catalog.search#/metadata/a36f7919-0d6e-4044-902c-64a74feade6b"/>
    <s v="Africa SoilGrids nutrients - Extractable Aluminium (Al)"/>
    <s v="Extractable Aluminium (Al) content of the soil fine earth fraction in mg/kg (ppm) as measured according to the soil analytical procedure of Mehlich 3 and spatially predicted for 0-30 cm depth interval at 250 m spatial resolution across sub-Saharan Africa using Machine Learning (ensemble between random forest and gradient boosting) using soil data from the Africa Soil Profiles database (AfSP) compiled by AfSIS and recent soil data newly collected by AfSIS in partnership with EthioSIS (Ethiopia), GhaSIS (Ghana) and NiSIS (Nigeria as made possible by OCP Africa and IITA), combined with soil data as made available by Wageningen University and Research, IFDC, VitalSigns, University of California and the OneAcreFund. [Values M = mean value predicted]. For details see below for peer reviewed paper (T. Hengl, J.G.B. Leenaars, K.D. Shepherd, M.G. Walsh, G.B.M. Heuvelink, Tekalign Mamo, H. Tilahun, E. Berkhout, M. Cooper, E. Fegraus, I. Wheeler, N.A. Kwabena, 2017. Soil nutrient maps of Sub-Saharan Africa: assessment of soil nutrient content at 250 m spatial resolution using machine learning. Nutriënt Cycling in Agroecosystems 109(1): 77-102). Maps produced for the Environmental Assessment Agency (PBL), funded by the Netherlands government, in collaboration with the AfSIS and the Vital Signs projects."/>
    <s v="en"/>
    <x v="3"/>
    <s v=""/>
    <s v=""/>
    <s v=""/>
    <x v="0"/>
    <s v="soil spatial properties"/>
    <s v="https://w3id.org/eusoilvoc#SoilSpatialProperties"/>
    <m/>
    <m/>
    <x v="0"/>
    <x v="5"/>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nitrogen total"/>
    <s v="https://w3id.org/eusoilvoc#NitrogenTotal"/>
    <b v="1"/>
    <n v="0.87439999999999996"/>
    <x v="1"/>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soil nitrogen loss"/>
    <s v="https://w3id.org/eusoilvoc#SoilNLoss"/>
    <m/>
    <n v="0.76529999999999998"/>
    <x v="2"/>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soil organic carbon"/>
    <s v="https://w3id.org/eusoilvoc#SoilOrganicCarbon"/>
    <b v="1"/>
    <n v="0.55789999999999995"/>
    <x v="3"/>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soil organic carbon loss"/>
    <s v="https://w3id.org/eusoilvoc#SOCLoss"/>
    <m/>
    <n v="0.35"/>
    <x v="4"/>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biological nitrogen fixation"/>
    <s v="https://w3id.org/eusoilvoc#BiologicalNitrogenFixation"/>
    <m/>
    <n v="0.1081"/>
    <x v="5"/>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nitrogen"/>
    <s v="https://w3id.org/eusoilvoc#Nitrogen"/>
    <m/>
    <n v="9.2299999999999993E-2"/>
    <x v="6"/>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biomass"/>
    <s v="https://w3id.org/eusoilvoc#Biomass"/>
    <m/>
    <n v="8.1600000000000006E-2"/>
    <x v="7"/>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1"/>
    <m/>
    <m/>
    <s v=""/>
    <x v="0"/>
    <s v="soil organic component"/>
    <s v="https://w3id.org/eusoilvoc#SoilOrganicComponents"/>
    <m/>
    <n v="8.0100000000000005E-2"/>
    <x v="8"/>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2"/>
    <m/>
    <m/>
    <s v=""/>
    <x v="0"/>
    <s v="biomass"/>
    <s v="https://w3id.org/eusoilvoc#Biomass"/>
    <m/>
    <m/>
    <x v="0"/>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2"/>
    <m/>
    <m/>
    <s v=""/>
    <x v="0"/>
    <s v="nitrogen"/>
    <s v="https://w3id.org/eusoilvoc#Nitrogen"/>
    <m/>
    <m/>
    <x v="0"/>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2"/>
    <m/>
    <m/>
    <s v=""/>
    <x v="0"/>
    <s v="emissions"/>
    <s v="https://w3id.org/eusoilvoc#Emissions"/>
    <m/>
    <m/>
    <x v="0"/>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2"/>
    <m/>
    <m/>
    <s v=""/>
    <x v="0"/>
    <s v="soil"/>
    <s v="https://w3id.org/eusoilvoc#Soil"/>
    <m/>
    <m/>
    <x v="0"/>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2"/>
    <m/>
    <m/>
    <s v=""/>
    <x v="0"/>
    <s v="roots"/>
    <s v="https://w3id.org/eusoilvoc#Roots"/>
    <m/>
    <m/>
    <x v="0"/>
    <x v="0"/>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biomass"/>
    <s v="https://w3id.org/eusoilvoc#Biomass"/>
    <m/>
    <m/>
    <x v="0"/>
    <x v="1"/>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carbon pool"/>
    <s v="https://w3id.org/eusoilvoc#CarbonPools"/>
    <m/>
    <m/>
    <x v="0"/>
    <x v="2"/>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nitrogen"/>
    <s v="https://w3id.org/eusoilvoc#Nitrogen"/>
    <m/>
    <m/>
    <x v="0"/>
    <x v="3"/>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emissions"/>
    <s v="https://w3id.org/eusoilvoc#Emissions"/>
    <m/>
    <m/>
    <x v="0"/>
    <x v="4"/>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plant nutrient uptake"/>
    <s v="https://w3id.org/eusoilvoc#PlantNutrientUptake"/>
    <m/>
    <m/>
    <x v="0"/>
    <x v="17"/>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soil organic carbon"/>
    <s v="https://w3id.org/eusoilvoc#SoilOrganicCarbon"/>
    <m/>
    <m/>
    <x v="0"/>
    <x v="5"/>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soil acidity"/>
    <s v="https://w3id.org/eusoilvoc#SoilpH"/>
    <m/>
    <m/>
    <x v="0"/>
    <x v="6"/>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air quality"/>
    <s v="https://w3id.org/eusoilvoc#AirQuality"/>
    <m/>
    <m/>
    <x v="0"/>
    <x v="7"/>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climate regulation"/>
    <s v="https://w3id.org/eusoilvoc#ClimateRegulation"/>
    <m/>
    <m/>
    <x v="0"/>
    <x v="8"/>
    <n v="0"/>
    <n v="0"/>
  </r>
  <r>
    <s v="https://doi.org/10.1007/s11104-011-0870-3"/>
    <s v="Biochar Adsorbed Ammonia Is Bioavailable"/>
    <s v="Biochar Is Produced As A By-Product Of The Low Temperature Pyrolysis Of Biomass During Bioenergy Extraction And Its Incorporation Into Soil Is Of Global Interest As A Potential Carbon Sequestration Tool. Biochar Influences Soil Nitrogen Transformations And Its Capacity To Take Up Ammonia Is Well Recognized. Anthropogenic Emissions Of Ammonia Need To Be Mitigated Due To Negative Environmental Impacts And Economic Losses. Here We Use An Isotope Of Nitrogen To Show That Ammonia-N Adsorbed By Biochar Is Stable In Ambient Air, But Readily Bioavailable When Placed In The Soil. When Biochars, Containing Adsorbed N-15 Labelled Ammonia, Were Incorporated Into Soil The N-15 Recovery By Roots Averaged 6.8% But Ranged From 26.1% To 10.9% In Leaf Tissue Due To Differing Biochar Properties With Plant N-15 Recovery Greater When Acidic Biochars Were Used To Capture Ammonia. Recovery Of N-15 As Total Soil Nitrogen (Organic+Inorganic) Ranged From 45% To 29% Of N-15 Applied. We Provide A Proof Of Concept For A Synergistic Mitigation Option Where Anthropogenic Ammonia Emissions Could Be Captured Using Biochar, And Made Bioavailable In Soils, Thus Leading To Nitrogen Capture By Crops, While Simultaneously Sequestering Carbon In Soils."/>
    <s v="en"/>
    <x v="3"/>
    <s v=""/>
    <s v=""/>
    <s v=""/>
    <x v="0"/>
    <s v="soil nutrient retention"/>
    <s v="https://w3id.org/eusoilvoc#SoilNutrientRetention"/>
    <m/>
    <m/>
    <x v="0"/>
    <x v="9"/>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lope"/>
    <s v="https://w3id.org/eusoilvoc#Slope"/>
    <m/>
    <n v="0.22509999999999999"/>
    <x v="1"/>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oil volume"/>
    <s v="https://w3id.org/eusoilvoc#SoilVolume"/>
    <m/>
    <n v="0.1188"/>
    <x v="2"/>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lope pathways"/>
    <s v="https://w3id.org/eusoilvoc#SlopePathways"/>
    <m/>
    <n v="0.10589999999999999"/>
    <x v="3"/>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oil nutrient retention"/>
    <s v="https://w3id.org/eusoilvoc#SoilNutrientRetention"/>
    <m/>
    <n v="0.1019"/>
    <x v="4"/>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oil nutrient"/>
    <s v="https://w3id.org/eusoilvoc#SoilNutrients"/>
    <m/>
    <n v="9.8299999999999998E-2"/>
    <x v="5"/>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oil nitrogen loss"/>
    <s v="https://w3id.org/eusoilvoc#SoilNLoss"/>
    <m/>
    <n v="5.9299999999999999E-2"/>
    <x v="6"/>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oil density"/>
    <s v="https://w3id.org/eusoilvoc#SoilDensity"/>
    <m/>
    <n v="5.1499999999999997E-2"/>
    <x v="7"/>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1"/>
    <m/>
    <m/>
    <s v=""/>
    <x v="0"/>
    <s v="slope gradient"/>
    <s v="https://w3id.org/eusoilvoc#SlopeGradient"/>
    <m/>
    <n v="5.0500000000000003E-2"/>
    <x v="8"/>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nitrogen"/>
    <s v="https://w3id.org/eusoilvoc#Nitrogen"/>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land use"/>
    <s v="https://w3id.org/eusoilvoc#LandUse"/>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soil"/>
    <s v="https://w3id.org/eusoilvoc#Soil"/>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phosphorus"/>
    <s v="https://w3id.org/eusoilvoc#Phosphorus"/>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carbon pools"/>
    <s v="https://w3id.org/eusoilvoc#CarbonPools"/>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slope"/>
    <s v="https://w3id.org/eusoilvoc#Slope"/>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2"/>
    <m/>
    <m/>
    <s v=""/>
    <x v="0"/>
    <s v="biomass"/>
    <s v="https://w3id.org/eusoilvoc#Biomass"/>
    <m/>
    <m/>
    <x v="0"/>
    <x v="0"/>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slope"/>
    <s v="https://w3id.org/eusoilvoc#Slope"/>
    <m/>
    <m/>
    <x v="0"/>
    <x v="1"/>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carbon pools"/>
    <s v="https://w3id.org/eusoilvoc#CarbonPools"/>
    <m/>
    <m/>
    <x v="0"/>
    <x v="2"/>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nitrogen"/>
    <s v="https://w3id.org/eusoilvoc#Nitrogen"/>
    <m/>
    <m/>
    <x v="0"/>
    <x v="3"/>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soil leaching"/>
    <s v="https://w3id.org/eusoilvoc#SoilLeaching"/>
    <m/>
    <m/>
    <x v="0"/>
    <x v="4"/>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biomass"/>
    <s v="https://w3id.org/eusoilvoc#Biomass"/>
    <m/>
    <m/>
    <x v="0"/>
    <x v="17"/>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agricultural sustainability"/>
    <s v="https://w3id.org/eusoilvoc#AgriculturalSustainability"/>
    <m/>
    <m/>
    <x v="0"/>
    <x v="5"/>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phosphorus"/>
    <s v="https://w3id.org/eusoilvoc#Phosphorus"/>
    <m/>
    <m/>
    <x v="0"/>
    <x v="6"/>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soil organic carbon"/>
    <s v="https://w3id.org/eusoilvoc#SoilOrganicCarbon"/>
    <m/>
    <m/>
    <x v="0"/>
    <x v="7"/>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soil nitrogen loss"/>
    <s v="https://w3id.org/eusoilvoc#SoilNLoss"/>
    <m/>
    <m/>
    <x v="0"/>
    <x v="8"/>
    <n v="0"/>
    <n v="0"/>
  </r>
  <r>
    <s v="https://doi.org/10.1016/j.agee.2015.10.021"/>
    <s v="Grazing Intensity And Micro-Topographical Effects On Some Nitrogen And Carbon Pools And Fluxes In Sheep-Grazed Hill Country In New Zealand"/>
    <s v="A Significant Proportion Of Grazed Land In New Zealand Is In Hill Country And This Area Supports A Large Proportion Of The National Sheep And Beef Herd. Little Is Known About The Effect Of Increased Grazing Intensity On Nitrogen (N) And Carbon (C) Cycling And Losses From These Hill Country Grazing Systems, Nor Of The Effect Of Micro-Topography-On N And C Pools And Fluxes. A Three Year Grazing Trial Was Conducted To Gather Information On The Effect Of An Increase In Grazing Intensity On Soil Chemistry And N And C Leaching In Three Distinct Micro-Topographical Classes. In This Temperate Environment, Micro-Topography Was The Dominant Influence On Annual Net Herbage Accumulation, Soil Chemistry And N And C Leaching. Net Herbage Accumulation Was Two- And Five-Fold Greater On Low (&lt;13 Degrees) Compared To Medium (13-25 Degrees) And High (&gt;25 Degrees) Slopes (14.6, 7.8, And 2.9 T Dm Ha(-1) Yr(-1), Respectively). Low Slope Soils Had Generally Higher Concentrations Of Phosphorus And N And C Species Compared To Soils On Medium And High Slopes. Nitrogen Leaching Was Greatest In Low Compared To Medium Slope Areas: Three-Year Mean Estimates Of Annual Leaching Were So Vs. 7 Kg Inorganic N Ha(-1), And 40 Vs. 8 Kg Dissolved Organic N Ha(-1), Respectively. Per Ha Estimates Of Inorganic N Leaching In This Landscape (Where Low, Medium And High Slopes Occupy 10, 60 And 30% Of The Land Area) Are 15 Kg N Ha(-1) If We Make The Assumption That High Slopes Leach As Much Inorganic N As Medium Slopes, Or 12 Kg N Ha(-1) If It Is Assumed That High Slopes Do Not Leach At All. The Significant Effect Of Slope On Parameters Measured Is A Reflection Of Micro-Topographical Influences On Livestock Grazing, Resting And Excreting Patterns. Estimates Of Annual Dissolved Organic C Leaching Were Not Significantly Different Between Low And Medium Slopes (185 Vs. 132 Kg C Ha(-1), Respectively). Grazing Intensity, At The Two Contrasting Grazing Pressures Employed (Annual Mean Standing Biomass Of 1900 Vs. 1475 Kg Dm Ha(-1)), Had No Significant Impact On The Variables Measured In This Three Year Study, Demonstrating The Robust Nature Of These Grazing Systems In The Short-Term. Our Study Provides New And Quantitative Information On Net Herbage Accumulation, Soil Characteristics And Nutrient Leaching In Grazed Hill Country. This New Information Will Enable The Development And Refinement Of N And C Models To Inform Sustainable Farming Practices For This Nationally Important Land Use. (C) 2015 Elsevier B.V. All Rights Reserved."/>
    <s v="en"/>
    <x v="3"/>
    <s v=""/>
    <s v=""/>
    <s v=""/>
    <x v="0"/>
    <s v="soil chemical properties"/>
    <s v="https://w3id.org/eusoilvoc#SoilChemicalProperties"/>
    <m/>
    <m/>
    <x v="0"/>
    <x v="9"/>
    <n v="0"/>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1"/>
    <m/>
    <m/>
    <s v=""/>
    <x v="2"/>
    <s v="soil temperature"/>
    <s v="https://w3id.org/eusoilvoc#SoilTemperature"/>
    <m/>
    <n v="0.85150000000000003"/>
    <x v="1"/>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1"/>
    <m/>
    <m/>
    <s v=""/>
    <x v="2"/>
    <s v="soil warming"/>
    <s v="https://w3id.org/eusoilvoc#SoilWarming"/>
    <m/>
    <n v="0.21970000000000001"/>
    <x v="2"/>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1"/>
    <m/>
    <m/>
    <s v=""/>
    <x v="3"/>
    <s v="soil heat capacity"/>
    <s v="https://w3id.org/eusoilvoc#SoilHeatCapacity"/>
    <m/>
    <n v="0.1179"/>
    <x v="3"/>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1"/>
    <m/>
    <m/>
    <s v=""/>
    <x v="3"/>
    <s v="soil heat convection"/>
    <s v="https://w3id.org/eusoilvoc#SoilHeatConvection"/>
    <m/>
    <n v="0.1089"/>
    <x v="4"/>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1"/>
    <m/>
    <m/>
    <s v=""/>
    <x v="3"/>
    <s v="soil heat movement"/>
    <s v="https://w3id.org/eusoilvoc#SoilHeatMovement"/>
    <m/>
    <n v="7.1099999999999997E-2"/>
    <x v="5"/>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2"/>
    <s v="soil temperature"/>
    <s v="https://w3id.org/eusoilvoc#SoilTemperature"/>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2"/>
    <s v="emissions"/>
    <s v="https://w3id.org/eusoilvoc#Emissions"/>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3"/>
    <s v="soil moisture"/>
    <s v="https://w3id.org/eusoilvoc#SoilMoisture"/>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3"/>
    <s v="soil"/>
    <s v="https://w3id.org/eusoilvoc#Soil"/>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3"/>
    <s v="soil depth"/>
    <s v="https://w3id.org/eusoilvoc#SoilDepth"/>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2"/>
    <m/>
    <m/>
    <s v=""/>
    <x v="3"/>
    <s v="season"/>
    <s v="https://w3id.org/eusoilvoc#Season"/>
    <m/>
    <m/>
    <x v="0"/>
    <x v="0"/>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soil temperature"/>
    <s v="https://w3id.org/eusoilvoc#SoilTemperature"/>
    <m/>
    <m/>
    <x v="0"/>
    <x v="1"/>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emissions"/>
    <s v="https://w3id.org/eusoilvoc#Emissions"/>
    <m/>
    <m/>
    <x v="0"/>
    <x v="2"/>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soil moisture"/>
    <s v="https://w3id.org/eusoilvoc#SoilMoisture"/>
    <m/>
    <m/>
    <x v="0"/>
    <x v="3"/>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season"/>
    <s v="https://w3id.org/eusoilvoc#Season"/>
    <m/>
    <m/>
    <x v="0"/>
    <x v="4"/>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soil warming"/>
    <s v="https://w3id.org/eusoilvoc#SoilWarming"/>
    <m/>
    <m/>
    <x v="0"/>
    <x v="17"/>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nitrogen"/>
    <s v="https://w3id.org/eusoilvoc#Nitrogen"/>
    <m/>
    <m/>
    <x v="0"/>
    <x v="5"/>
    <n v="11"/>
    <n v="0"/>
  </r>
  <r>
    <s v="https://doi.org/10.1016/j.soilbio.2010.02.011"/>
    <s v="Effects Of Warming And Grazing On N2o Fluxes In An Alpine Meadow Ecosystem On The Tibetan Plateau"/>
    <s v="A Great Deal Of Uncertainty Is Associated With Estimates Of Global Nitrous Oxide (N2o) Emissions Because Emissions From Arid And Polar Climates Were Not Included In The Estimates Due To A Lack Of Available Data. In Particular, Very Few Studies Have Assessed The Response Of N2o Flux To Grazing Under Future Warming Conditions. This Experiment Was Conducted To Determine The Effects Of Warming And Grazing On N2o Flux At Different Time Scales For Three Years Under A Controlled Warming-Grazing System. A Free-Air Temperature Enhancement System (Fate) Using Infrared Heaters And Grazing Significantly Increased Soil Temperatures For Both Of Growing (Average 1.8 Degrees C In 2008) And No-Growing Seasons (Average 3.0 Degrees C For 3-Years) Within 20-Cm Depth, But Only Warming Reduced Soil Moisture At 10-Cm Soil Depth During The Growing Season During The Drought Year Of 2008. Generally, The Effects Of Warming And Grazing On N2o Flux Varied With Sampling Date, Season, And Year. No Interactive Effect Between Warming And Grazing Was Found. Warming Did Not Affect Annual N2o Flux When Grazing Was Moderate During The Growing Season Because The Tradeoff Of The Effect Of Warming On N2o Flux Was Observed Between The Growing Season And No-Growing Season. No-Warming With Grazing (Nwg) And Warming With Grazing (Wg) Significantly Increased The Average Annual N2o Flux (57.8 And 31.0%) Compared With No-Warming With No-Grazing (Nwng) And Warming With No-Grazing (Wng), Respectively, Indicating That Warming Reduced The Response Of N2o Flux To Grazing In The Region. Winter Accounted For 36-57% Of Annual N2o Flux For Nwng And Nwg, Whereas Only For 5-8% Of Annual N2o Flux For Wng And Wg. Soil Temperature Could Explain 5-35% Of Annual N2o Flux Variation. (C) 2010 Elsevier Ltd. All Rights Reserved."/>
    <s v="en"/>
    <x v="3"/>
    <s v=""/>
    <s v=""/>
    <s v=""/>
    <x v="0"/>
    <s v="climatic effects"/>
    <s v="https://w3id.org/eusoilvoc#Climate"/>
    <m/>
    <m/>
    <x v="0"/>
    <x v="6"/>
    <n v="11"/>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microbial biomass"/>
    <s v="https://w3id.org/eusoilvoc#SoilMicrobialBiomass"/>
    <m/>
    <n v="0.99080000000000001"/>
    <x v="1"/>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microbiota"/>
    <s v="https://w3id.org/eusoilvoc#SoilMicrofauna"/>
    <m/>
    <n v="0.77759999999999996"/>
    <x v="2"/>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microbiotic crusts"/>
    <s v="https://w3id.org/eusoilvoc#SoilMicrobioticCrusts"/>
    <m/>
    <n v="0.43230000000000002"/>
    <x v="3"/>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microbial activity"/>
    <s v="https://w3id.org/eusoilvoc#SoilMicrobialActivity"/>
    <m/>
    <n v="0.36299999999999999"/>
    <x v="4"/>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microbial respiration"/>
    <s v="https://w3id.org/eusoilvoc#SoilMicrobialRespiration"/>
    <m/>
    <n v="6.5299999999999997E-2"/>
    <x v="5"/>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1"/>
    <m/>
    <m/>
    <s v=""/>
    <x v="0"/>
    <s v="soil biological degradation"/>
    <s v="https://w3id.org/eusoilvoc#SoilBiologicalDegradation"/>
    <m/>
    <n v="5.3100000000000001E-2"/>
    <x v="6"/>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soil microbial biomass"/>
    <s v="https://w3id.org/eusoilvoc#SoilMicrobialBiomass"/>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soil pH"/>
    <s v="https://w3id.org/eusoilvoc#SoilpH"/>
    <b v="1"/>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biomass"/>
    <s v="https://w3id.org/eusoilvoc#Biomass"/>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soil type"/>
    <s v="https://w3id.org/eusoilvoc#SoilTypes"/>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soil"/>
    <s v="https://w3id.org/eusoilvoc#Soil"/>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soil fertility"/>
    <s v="https://w3id.org/eusoilvoc#SoilProductivity"/>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clay"/>
    <s v="https://w3id.org/eusoilvoc#Clay"/>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2"/>
    <m/>
    <m/>
    <s v=""/>
    <x v="0"/>
    <s v="gradient"/>
    <s v="https://w3id.org/eusoilvoc#Slope"/>
    <m/>
    <m/>
    <x v="0"/>
    <x v="0"/>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microbial biomass"/>
    <s v="https://w3id.org/eusoilvoc#SoilMicrobialBiomass"/>
    <m/>
    <m/>
    <x v="0"/>
    <x v="1"/>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pH"/>
    <s v="https://w3id.org/eusoilvoc#SoilpH"/>
    <m/>
    <m/>
    <x v="0"/>
    <x v="2"/>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mineralization"/>
    <s v="https://w3id.org/eusoilvoc#SoilMineralization"/>
    <m/>
    <m/>
    <x v="0"/>
    <x v="3"/>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microorganisms"/>
    <s v="https://w3id.org/eusoilvoc#SoilMicrofauna"/>
    <m/>
    <m/>
    <x v="0"/>
    <x v="4"/>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organic carbon"/>
    <s v="https://w3id.org/eusoilvoc#SoilOrganicCarbon"/>
    <m/>
    <m/>
    <x v="0"/>
    <x v="17"/>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fertility"/>
    <s v="https://w3id.org/eusoilvoc#SoilProductivity"/>
    <m/>
    <m/>
    <x v="0"/>
    <x v="5"/>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soil biological processes"/>
    <s v="https://w3id.org/eusoilvoc#SoilBiologicalProcesses"/>
    <m/>
    <m/>
    <x v="0"/>
    <x v="6"/>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biomass"/>
    <s v="https://w3id.org/eusoilvoc#Biomass"/>
    <m/>
    <m/>
    <x v="0"/>
    <x v="7"/>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microorganisms"/>
    <s v="https://w3id.org/eusoilvoc#Microbes"/>
    <m/>
    <m/>
    <x v="0"/>
    <x v="8"/>
    <n v="0"/>
    <n v="0"/>
  </r>
  <r>
    <s v="https://doi.org/10.1016/j.soilbio.2012.10.033"/>
    <s v="Microbial Biomass Growth, Following Incorporation Of Biochars Produced At 350 Degrees C Or 700 Degrees C, In A Silty-Clay Loam Soil Of High And Low Ph"/>
    <s v="Biochar Has Been Widely Proposed As A Soil Amendment, With Reports Of Benefits To Soil Physical, Chemical And Biological Properties. To Quantify The Changes In Soil Microbial Biomass And To Understand The Mechanisms Involved, Two Biochars Were Prepared At 350 Degrees C (Bc350) And 700 Degrees C (Bc700) From Miscanthus Giganteus, A C4 Plant, Naturally Enriched With C-13. The Biochars Were Added To Soils Of About Ph 4 And 8, Which Were Both Sampled From A Soil Ph Gradient Of The Same Soil Type. Isotopic (C-13) Techniques Were Used To Investigate Biochar C Availability To The Biomass. Scanning Electron Microscopy (Sem) Was Used To Observe The Microbial Colonization, And Attenuated Total Reflectance (Atr) To Highlight Structural Changes At The Surface Of The Biochars. After 90 Days Incubation, Bc350 Significantly Increased The Biomass C Concentration Relative To The Controls In Both The Low (P &lt; 0.05) And High Ph Soil (P &lt;0.01). It Declined Between Day 90 And 180. The Same Trend Occurred With Soil Microbial Atp. Overall, Biomass C And Atp Concentrations Were Closely Correlated Over All Treatments (R-2 = 0.87). This Indicates That Neither The Biomass C, Nor Atp Analyses Were Affected By The Biochars, Unless, Of Course, They Were Both Affected In The Same Way, Which Is Highly Unlikely. About 20% Of Microbial Biomass Bc Was Derived From Bc350 After 90 Days Of Incubation In Both Low And High Ph Soils. However, Less Than 2% Of Biomass C-13 Was Derived From Bc700 In The High Ph Soil, Showing Very Low Biological Availability Of Bc700. After 90 Days Of Incubation, Microbial Colonization In The Charsphere (Defined Here As The Interface Between Soil And Biochar) Was More Pronounced With The Bc350 In The Low Ph Soil. This Was Consistent With The Biomass C And Atp Results. The Microbial Colonization Following Biochar Addition In Our Study Was Mainly Attributed To Biochar C Availability And Its Large Surface Area. There Was A Close Linear Relationship Between (Co2)-C-13 Evolved And Biomass C-13, Suggesting That Biochar Mineralization Is Essentially A Biological Process. The Interactions Between Non-Living And Living Organic C Forms, Which Are Vital In Terms Of Soil Fertility And The Global C Cycle, May Be Favoured In The Charsphere, Which Has Unique Properties, Distinct From Both The Internal Biochar And The Bulk Soil. (C) 2012 Elsevier Ltd. All Rights Reserved."/>
    <s v="en"/>
    <x v="3"/>
    <s v=""/>
    <s v=""/>
    <s v=""/>
    <x v="0"/>
    <s v="microorganisms"/>
    <s v="https://w3id.org/eusoilvoc#Microorganisms"/>
    <m/>
    <m/>
    <x v="0"/>
    <x v="8"/>
    <n v="0"/>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root biomass"/>
    <s v="https://w3id.org/eusoilvoc#RootBiomass"/>
    <m/>
    <n v="0.93989999999999996"/>
    <x v="1"/>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plant nutrient uptake"/>
    <s v="https://w3id.org/eusoilvoc#PlantNutrientUptake"/>
    <m/>
    <n v="0.93279999999999996"/>
    <x v="2"/>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soil mineralization"/>
    <s v="https://w3id.org/eusoilvoc#SoilMineralization"/>
    <m/>
    <n v="0.63600000000000001"/>
    <x v="3"/>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soil nutrient availability"/>
    <s v="https://w3id.org/eusoilvoc#SoilNutrientAvailability"/>
    <m/>
    <n v="0.50580000000000003"/>
    <x v="4"/>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plant available water capacity"/>
    <s v="https://w3id.org/eusoilvoc#PlantAvailableWaterCapacity"/>
    <m/>
    <n v="0.48580000000000001"/>
    <x v="5"/>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plant water uptake"/>
    <s v="https://w3id.org/eusoilvoc#PlantWaterUptake"/>
    <m/>
    <n v="0.42020000000000002"/>
    <x v="6"/>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normal water loss (of plants)"/>
    <s v="https://w3id.org/eusoilvoc#Transpiration"/>
    <m/>
    <n v="0.30859999999999999"/>
    <x v="7"/>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root growth"/>
    <s v="https://w3id.org/eusoilvoc#RootGrowth"/>
    <m/>
    <n v="0.28870000000000001"/>
    <x v="8"/>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plant available water content"/>
    <s v="https://w3id.org/eusoilvoc#PlantAvailableWaterContents"/>
    <m/>
    <n v="0.22239999999999999"/>
    <x v="9"/>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biological processes"/>
    <s v="https://w3id.org/eusoilvoc#SoilBiologicalProcesses"/>
    <m/>
    <n v="0.2127"/>
    <x v="1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phosphorus retention"/>
    <s v="https://w3id.org/eusoilvoc#PhosphorusRetention"/>
    <b v="1"/>
    <n v="0.21010000000000001"/>
    <x v="11"/>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phosphorus"/>
    <s v="https://w3id.org/eusoilvoc#Phosphorus"/>
    <m/>
    <n v="0.13550000000000001"/>
    <x v="12"/>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fluid movement"/>
    <s v="https://w3id.org/eusoilvoc#SoilFluidMovement"/>
    <m/>
    <n v="0.1147"/>
    <x v="13"/>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2"/>
    <s v="soil nutrient content"/>
    <s v="https://w3id.org/eusoilvoc#SoilProductivity"/>
    <m/>
    <n v="0.1033"/>
    <x v="14"/>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depth rootable"/>
    <s v="https://w3id.org/eusoilvoc#SoilDepthRootable"/>
    <m/>
    <n v="8.2199999999999995E-2"/>
    <x v="15"/>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phosphorus loss"/>
    <s v="https://w3id.org/eusoilvoc#SoilPLoss"/>
    <m/>
    <n v="7.9699999999999993E-2"/>
    <x v="16"/>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moisture movement"/>
    <s v="https://w3id.org/eusoilvoc#SoilMoistureMovement"/>
    <m/>
    <n v="7.3899999999999993E-2"/>
    <x v="17"/>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volume change"/>
    <s v="https://w3id.org/eusoilvoc#SoilVolumeChange"/>
    <m/>
    <n v="7.0000000000000007E-2"/>
    <x v="18"/>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water movement"/>
    <s v="https://w3id.org/eusoilvoc#SoilWaterMovement"/>
    <m/>
    <n v="6.3899999999999998E-2"/>
    <x v="19"/>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antecedent soil moisture content"/>
    <s v="https://w3id.org/eusoilvoc#AntecedentSoilMoistureContents"/>
    <m/>
    <n v="5.6000000000000001E-2"/>
    <x v="2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mineral concentration"/>
    <s v="https://w3id.org/eusoilvoc#MineralConcentration"/>
    <m/>
    <n v="5.3499999999999999E-2"/>
    <x v="21"/>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1"/>
    <m/>
    <m/>
    <s v=""/>
    <x v="3"/>
    <s v="soil structural change"/>
    <s v="https://w3id.org/eusoilvoc#SoilStructuralChange"/>
    <m/>
    <n v="5.2699999999999997E-2"/>
    <x v="22"/>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3"/>
    <s v="soil water availability"/>
    <s v="https://w3id.org/eusoilvoc#SoilWaterAvailability"/>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root biomass"/>
    <s v="https://w3id.org/eusoilvoc#RootBiomass"/>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3"/>
    <s v="soil moisture contents"/>
    <s v="https://w3id.org/eusoilvoc#SoilMoistureContents"/>
    <b v="1"/>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plant nutrient uptake"/>
    <s v="https://w3id.org/eusoilvoc#PlantNutrientUptake"/>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3"/>
    <s v="soil moisture"/>
    <s v="https://w3id.org/eusoilvoc#SoilMoisture"/>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root growth"/>
    <s v="https://w3id.org/eusoilvoc#RootGrowth"/>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3"/>
    <s v="soil water"/>
    <s v="https://w3id.org/eusoilvoc#SoilWater"/>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soil"/>
    <s v="https://w3id.org/eusoilvoc#Soil"/>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biomass"/>
    <s v="https://w3id.org/eusoilvoc#Biomass"/>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2"/>
    <m/>
    <m/>
    <s v=""/>
    <x v="2"/>
    <s v="roots"/>
    <s v="https://w3id.org/eusoilvoc#Roots"/>
    <m/>
    <m/>
    <x v="0"/>
    <x v="0"/>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root biomass"/>
    <s v="https://w3id.org/eusoilvoc#RootBiomass"/>
    <m/>
    <m/>
    <x v="0"/>
    <x v="1"/>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soil water availability"/>
    <s v="https://w3id.org/eusoilvoc#SoilWaterAvailability"/>
    <m/>
    <m/>
    <x v="0"/>
    <x v="2"/>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plant nutrient uptake"/>
    <s v="https://w3id.org/eusoilvoc#PlantNutrientUptake"/>
    <m/>
    <m/>
    <x v="0"/>
    <x v="3"/>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root growth"/>
    <s v="https://w3id.org/eusoilvoc#RootGrowth"/>
    <m/>
    <m/>
    <x v="0"/>
    <x v="4"/>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nitrogen"/>
    <s v="https://w3id.org/eusoilvoc#Nitrogen"/>
    <m/>
    <m/>
    <x v="0"/>
    <x v="17"/>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phosphorus"/>
    <s v="https://w3id.org/eusoilvoc#Phosphorus"/>
    <m/>
    <m/>
    <x v="0"/>
    <x v="5"/>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potassium"/>
    <s v="https://w3id.org/eusoilvoc#Potassium"/>
    <m/>
    <m/>
    <x v="0"/>
    <x v="6"/>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soil moisture content"/>
    <s v="https://w3id.org/eusoilvoc#SoilMoistureContents"/>
    <m/>
    <m/>
    <x v="0"/>
    <x v="7"/>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crop"/>
    <s v="https://w3id.org/eusoilvoc#Crop"/>
    <m/>
    <m/>
    <x v="0"/>
    <x v="8"/>
    <n v="32"/>
    <n v="0"/>
  </r>
  <r>
    <s v="https://doi.org/10.1046/j.1469-8137.1997.00682.x"/>
    <s v="Effects Of Elevated Atmospheric Co2 And Soil Water Availability On Root Biomass, Root Length, And N, P And K Uptake By Wheat"/>
    <s v="We Investigated Interactions Between The Effects Of Elevated Atmospheric Carbon Dioxide Concentrations ([Co2]) And Soil Water Availability On Root Biomass, Root Length And Nutrient Uptake By Spring Wheat (Triticum Aestivum Cv. Tonic). We Grew Plants At 350 And 700 Mu Mol Mol(-1) Co2 And With Frequent And Infrequent Watering ('Wet' And 'Dry' Treatments, Respectively). Water Use Per Plant Was 1.25 Times Greater At 350 Than At 700 Mu Mol Co2 Mol(-1), And 1.4 Times Greater In The 'Wet' Than In The 'Dry' Treatment. Root Biomass Increased With [Co2] And With Watering Frequency. Elevated [Co2] Changed The Vertical Distribution Of The Roots, With A Greater Stimulation Of Root Growth In The Top Layers Of The Soil. These Data Were Confirmed By The Video Data Of Root Lengths In The 'Dry' Treatment, Which Showed A Delayed Root Development At Depth Under Elevated [Co2]. The Apparent Amount Of N Mineralized Appeared To Be Equal For All Treatments. Nutrient Uptake Was Affected By [Co2] And By Watering Frequency, And There Were Interactions Between These Treatments. These Interactions Were Different For N, K And P, Which Appeared To Be Related To Differences In Nutrient Availability And Mobility In The Soil. Moreover, These Interactions Changed With Time As The Root System Became Larger With [Co2] And With Watering Frequency, And As Fluctuations In Soil Moisture Contents Increased. Elevated [Co2] Affected Nutrient Uptake In Contrasting Ways. Potassium Uptake Appeared To Be Reduced By The Smaller Mass How Of Water Reaching The Root Surface. However, This Might Be Countered With Time By The Greater Root Biomass At Elevated [Co2], By The Greater Soil Moisture Contents At Elevated [Co2], Enabling Faster Diffusion, Or Both. Phosphorus Uptake Appeared To Be Increased By The Greater Root Biomass At Elevated [Co2]. We Conclude That Plant Nutrient Uptake At Elevated [Co2] Is Affected By Interactions With Water Availability, Though Differences Between Nutrients Preclude Generalizations Of The Response."/>
    <s v="en"/>
    <x v="3"/>
    <s v=""/>
    <s v=""/>
    <s v=""/>
    <x v="0"/>
    <s v="biomass"/>
    <s v="https://w3id.org/eusoilvoc#Biomass"/>
    <m/>
    <m/>
    <x v="0"/>
    <x v="9"/>
    <n v="32"/>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microbiota"/>
    <s v="https://w3id.org/eusoilvoc#SoilMicrofauna"/>
    <m/>
    <n v="0.82789999999999997"/>
    <x v="1"/>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microbial activity"/>
    <s v="https://w3id.org/eusoilvoc#SoilMicrobialActivity"/>
    <m/>
    <n v="0.74929999999999997"/>
    <x v="2"/>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microbial biomass"/>
    <s v="https://w3id.org/eusoilvoc#SoilMicrobialBiomass"/>
    <m/>
    <n v="0.55230000000000001"/>
    <x v="3"/>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microbial respiration"/>
    <s v="https://w3id.org/eusoilvoc#SoilMicrobialRespiration"/>
    <m/>
    <n v="0.46310000000000001"/>
    <x v="4"/>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organisms"/>
    <s v="https://w3id.org/eusoilvoc#SoilOrganisms"/>
    <m/>
    <n v="0.34089999999999998"/>
    <x v="5"/>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environmental function"/>
    <s v="https://w3id.org/eusoilvoc#SoilEnvironmentalFunctions"/>
    <m/>
    <n v="0.31790000000000002"/>
    <x v="6"/>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biological functions"/>
    <s v="https://w3id.org/eusoilvoc#SoilBiologicalFunctions"/>
    <m/>
    <n v="0.2903"/>
    <x v="7"/>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biological processes"/>
    <s v="https://w3id.org/eusoilvoc#SoilBiologicalProcesses"/>
    <m/>
    <n v="0.22889999999999999"/>
    <x v="8"/>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3"/>
    <s v="soil microbiotic crust"/>
    <s v="https://w3id.org/eusoilvoc#SoilMicrobioticCrusts"/>
    <m/>
    <n v="0.1497"/>
    <x v="9"/>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micro-organisms"/>
    <s v="https://w3id.org/eusoilvoc#Microbes"/>
    <m/>
    <n v="0.13619999999999999"/>
    <x v="1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3"/>
    <s v="soil chemical functions"/>
    <s v="https://w3id.org/eusoilvoc#SoilChemicalFunctions"/>
    <m/>
    <n v="6.2199999999999998E-2"/>
    <x v="11"/>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3"/>
    <s v="critical soil organic matter contents"/>
    <s v="https://w3id.org/eusoilvoc#CriticalSoilOrganicMatterContents"/>
    <m/>
    <n v="6.1199999999999997E-2"/>
    <x v="12"/>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1"/>
    <m/>
    <m/>
    <s v=""/>
    <x v="2"/>
    <s v="soil biological properties"/>
    <s v="https://w3id.org/eusoilvoc#SoilBiologicalProperties"/>
    <m/>
    <n v="5.1799999999999999E-2"/>
    <x v="13"/>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2"/>
    <s v="soil processes"/>
    <s v="https://w3id.org/eusoilvoc#SoilProcesses"/>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2"/>
    <s v="micro-organisms"/>
    <s v="https://w3id.org/eusoilvoc#Microbes"/>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2"/>
    <s v="micro-organisms"/>
    <s v="https://w3id.org/eusoilvoc#Microorganisms"/>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2"/>
    <s v="soil"/>
    <s v="https://w3id.org/eusoilvoc#Soil"/>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2"/>
    <s v="biomass"/>
    <s v="https://w3id.org/eusoilvoc#Biomass"/>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2"/>
    <m/>
    <m/>
    <s v=""/>
    <x v="3"/>
    <s v="rain"/>
    <s v="https://w3id.org/eusoilvoc#Rain"/>
    <m/>
    <m/>
    <x v="0"/>
    <x v="0"/>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microbial biomass"/>
    <s v="https://w3id.org/eusoilvoc#SoilMicrobialBiomass"/>
    <m/>
    <m/>
    <x v="0"/>
    <x v="1"/>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microbial respiration"/>
    <s v="https://w3id.org/eusoilvoc#SoilMicrobialRespiration"/>
    <m/>
    <m/>
    <x v="0"/>
    <x v="2"/>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microbial activity"/>
    <s v="https://w3id.org/eusoilvoc#SoilMicrobialActivity"/>
    <m/>
    <m/>
    <x v="0"/>
    <x v="3"/>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microorganisms"/>
    <s v="https://w3id.org/eusoilvoc#SoilMicrofauna"/>
    <m/>
    <m/>
    <x v="0"/>
    <x v="4"/>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phosphorus"/>
    <s v="https://w3id.org/eusoilvoc#Phosphorus"/>
    <m/>
    <m/>
    <x v="0"/>
    <x v="17"/>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nitrogen"/>
    <s v="https://w3id.org/eusoilvoc#Nitrogen"/>
    <m/>
    <m/>
    <x v="0"/>
    <x v="5"/>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macronutrients"/>
    <s v="https://w3id.org/eusoilvoc#Macronutrients"/>
    <m/>
    <m/>
    <x v="0"/>
    <x v="6"/>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fertiliser use"/>
    <s v="https://w3id.org/eusoilvoc#FertiliserUse"/>
    <m/>
    <m/>
    <x v="0"/>
    <x v="7"/>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nutrient availability"/>
    <s v="https://w3id.org/eusoilvoc#SoilNutrientAvailability"/>
    <m/>
    <m/>
    <x v="0"/>
    <x v="8"/>
    <n v="19"/>
    <n v="0"/>
  </r>
  <r>
    <s v="https://doi.org/10.1111/1365-2435.12329"/>
    <s v="Interactive Effects Of C, N And P Fertilization On Soil Microbial Community Structure And Function In An Amazonian Rain Forest"/>
    <s v="1. Resource Control Over Abundance, Structure And Functional Diversity Of Soil Microbial Communities Is A Key Determinant Of Soil Processes And Related Ecosystem Functioning. Copiotrophic Organisms Tend To Be Found In Environments Which Are Rich In Nutrients, Particularly Carbon, In Contrast To Oligotrophs, Which Survive In Much Lower Carbon Concentrations. We Hypothesized That Microbial Biomass, Activity And Community Structure In Nutrient-Poor Soils Of An Amazonian Rain Forest Are Limited By Multiple Elements In Interaction. We Tested This Hypothesis With A Fertilization Experiment By Adding C (As Cellulose), N (As Urea) And P (As Phosphate) In All Possible Combinations To A Total Of 40 Plots Of An Undisturbed Tropical Forest In French Guiana. After 2years Of Fertilization, We Measured A 47% Higher Biomass, A 21% Increase In Substrate-Induced Respiration Rate And A 5-Fold Higher Rate Of Decomposition Of Cellulose Paper Discs Of Soil Microbial Communities That Grew In P-Fertilized Plots Compared To Plots Without P Fertilization. These Responses Were Amplified With A Simultaneous C Fertilization Suggesting P And C Colimitation Of Soil Micro-Organisms At Our Study Site. Moreover, P Fertilization Modified Microbial Community Structure (Plfas) To A More Copiotrophic Bacterial Community Indicated By A Significant Decrease In The Gram-Positive:Gram-Negative Ratio. The Fungi:Bacteria Ratio Increased In N Fertilized Plots, Suggesting That Fungi Are Relatively More Limited By N Than Bacteria. Changes In Microbial Community Structure Did Not Affect Rates Of General Processes Such As Glucose Mineralization And Cellulose Paper Decomposition. In Contrast, Community Level Physiological Profiles Under P Fertilization Combined With Either C Or N Fertilization Or Both Differed Strongly From All Other Treatments, Indicating Functionally Different Microbial Communities. While P Appears To Be The Most Critical From The Three Major Elements We Manipulated, The Strongest Effects Were Observed In Combination With Either Supplementary C Or N Addition In Support Of Multiple Element Control On Soil Microbial Functioning And Community Structure. We Conclude That The Soil Microbial Community In The Studied Tropical Rain Forest And The Processes It Drives Is Finely Tuned By The Relative Availability In C, N And P. Any Shifts In The Relative Abundance Of These Key Elements May Affect Spatial And Temporal Heterogeneity In Microbial Community Structure, Their Associated Functions And The Dynamics Of C And Nutrients In Tropical Ecosystems."/>
    <s v="en"/>
    <x v="3"/>
    <s v=""/>
    <s v=""/>
    <s v=""/>
    <x v="0"/>
    <s v="soil organic carbon"/>
    <s v="https://w3id.org/eusoilvoc#SoilOrganicCarbon"/>
    <m/>
    <m/>
    <x v="0"/>
    <x v="9"/>
    <n v="19"/>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1"/>
    <m/>
    <m/>
    <s v=""/>
    <x v="0"/>
    <s v="soil N loss"/>
    <s v="https://w3id.org/eusoilvoc#SoilNLoss"/>
    <m/>
    <n v="0.37130000000000002"/>
    <x v="1"/>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1"/>
    <m/>
    <m/>
    <s v=""/>
    <x v="0"/>
    <s v="soil biological degradation"/>
    <s v="https://w3id.org/eusoilvoc#SoilBiologicalDegradation"/>
    <m/>
    <n v="0.28239999999999998"/>
    <x v="2"/>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1"/>
    <m/>
    <m/>
    <s v=""/>
    <x v="0"/>
    <s v="soil productivity"/>
    <s v="https://w3id.org/eusoilvoc#SoilProductivity"/>
    <m/>
    <n v="8.7300000000000003E-2"/>
    <x v="3"/>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1"/>
    <m/>
    <m/>
    <s v=""/>
    <x v="0"/>
    <s v="biomass"/>
    <s v="https://w3id.org/eusoilvoc#Biomass"/>
    <m/>
    <n v="7.7200000000000005E-2"/>
    <x v="4"/>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1"/>
    <m/>
    <m/>
    <s v=""/>
    <x v="0"/>
    <s v="soil P loss"/>
    <s v="https://w3id.org/eusoilvoc#SoilPLoss"/>
    <m/>
    <n v="5.3400000000000003E-2"/>
    <x v="5"/>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nitrogen"/>
    <s v="https://w3id.org/eusoilvoc#Nitrogen"/>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emissions"/>
    <s v="https://w3id.org/eusoilvoc#Emissions"/>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soil quality"/>
    <s v="https://w3id.org/eusoilvoc#SoilHealth"/>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soil quality"/>
    <s v="https://w3id.org/eusoilvoc#SoilQuality"/>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emission"/>
    <s v="https://w3id.org/eusoilvoc#Emissions"/>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soil degradation"/>
    <s v="https://w3id.org/eusoilvoc#SoilDegradation"/>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soil properties"/>
    <s v="https://w3id.org/eusoilvoc#SoilProperties"/>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soil"/>
    <s v="https://w3id.org/eusoilvoc#Soil"/>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2"/>
    <m/>
    <m/>
    <s v=""/>
    <x v="0"/>
    <s v="input"/>
    <s v="https://w3id.org/eusoilvoc#Inputs"/>
    <m/>
    <m/>
    <x v="0"/>
    <x v="0"/>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emissions"/>
    <s v="https://w3id.org/eusoilvoc#Emissions"/>
    <m/>
    <m/>
    <x v="0"/>
    <x v="1"/>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nitrogen"/>
    <s v="https://w3id.org/eusoilvoc#Nitrogen"/>
    <m/>
    <m/>
    <x v="0"/>
    <x v="2"/>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degradation"/>
    <s v="https://w3id.org/eusoilvoc#SoilDegradation"/>
    <m/>
    <m/>
    <x v="0"/>
    <x v="3"/>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quality"/>
    <s v="https://w3id.org/eusoilvoc#SoilHealth"/>
    <m/>
    <m/>
    <x v="0"/>
    <x v="4"/>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quality"/>
    <s v="https://w3id.org/eusoilvoc#SoilQuality"/>
    <m/>
    <m/>
    <x v="0"/>
    <x v="4"/>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crop yield"/>
    <s v="https://w3id.org/eusoilvoc#CropYield"/>
    <m/>
    <m/>
    <x v="0"/>
    <x v="17"/>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properties"/>
    <s v="https://w3id.org/eusoilvoc#SoilProperties"/>
    <m/>
    <m/>
    <x v="0"/>
    <x v="5"/>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N loss"/>
    <s v="https://w3id.org/eusoilvoc#SoilNLoss"/>
    <m/>
    <m/>
    <x v="0"/>
    <x v="6"/>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organic carbon"/>
    <s v="https://w3id.org/eusoilvoc#SoilOrganicCarbon"/>
    <m/>
    <m/>
    <x v="0"/>
    <x v="7"/>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nutrient dynamics"/>
    <s v="https://w3id.org/eusoilvoc#NutrientDynamics"/>
    <m/>
    <m/>
    <x v="0"/>
    <x v="8"/>
    <n v="0"/>
    <n v="0"/>
  </r>
  <r>
    <s v="https://doi.org/10.1111/gcbb.12356"/>
    <s v="Dynamic Responses Of Nitrous Oxide Emission And Nitrogen Use Efficiency To Nitrogen And Biochar Amendment In An Intensified Vegetable Field In Southeastern China"/>
    <s v="Intensive Vegetable Production Exhibits Contrasting Characteristics Of High Nitrous Oxide (N2o) Emissions And Low Nitrogen Use Efficiency (Nue). In An Effort To Mitigate N2o Emissions And Improve Nue, A Field Experiment With Nine Consecutive Vegetable Crops Was Designed To Study The Combined Effects Of Nitrogen (N) And Biochar Amendment And Their Interaction On Soil Properties, N2o Emission And Nue In An Intensified Vegetable Field In Southeastern China. We Found That N Application Significantly Increased N2o Emissions, N2o-N Emission Factors And Yield-Scaled N2o Emissions By 51-159%, 9-125% And 14-131%, Respectively. Moreover, High N Input Significantly Decreased N Partial Factor Productivity (Pfpn) And Even Yield During The Seventh To Ninth Vegetable Crops Along With Obvious Soil Degradation And Mineral N Accumulation. To The Contrary, Biochar Amendment Resulted In Significant Decreases In Cumulative N2o Emissions, N2o-N Emission Factor And Yield-Scaled N2o Emissions By 5-39%, 16-67% And 14-53%, Respectively. In Addition, Biochar Significantly Increased Yield, Pfpn And Apparent Recovery Of N (Arn). Although Without Obvious Influence During The First To Fourth Vegetable Crops, Biochar Amendment Mitigated N2o Emissions During The Fifth To Ninth Vegetable Crops. The Relative Effects Of Biochar Amendments Were Reduced With Increasing N Application Rate. Hence, While High N Input Produced Adverse Consequences Such As Mineral N Accumulation And Soil Degradation In The Vegetable Field, Biochar Amendment Can Be A Beneficial Agricultural Strategy To Mitigate N2o Emissions And Improve Nue And Soil Quality In Vegetable Field."/>
    <s v="en"/>
    <x v="3"/>
    <s v=""/>
    <s v=""/>
    <s v=""/>
    <x v="0"/>
    <s v="soil nutrient"/>
    <s v="https://w3id.org/eusoilvoc#SoilNutrients"/>
    <m/>
    <m/>
    <x v="0"/>
    <x v="9"/>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14. life underwater"/>
    <s v="sdg"/>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microstegium vimineum"/>
    <s v="free_keyword"/>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understory communities"/>
    <s v="free_keyword"/>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invasive species"/>
    <s v="free_keyword"/>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lonicera japonica"/>
    <s v="free_keyword"/>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15. life on land"/>
    <s v="sdg"/>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2. zero hunger"/>
    <s v="sdg"/>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0401 agriculture, forestry, and fisheries"/>
    <s v="fos"/>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01 natural sciences"/>
    <s v="fos"/>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6. clean water"/>
    <s v="sdg"/>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13. climate action"/>
    <s v="sdg"/>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04 agricultural and veterinary sciences"/>
    <s v="fos"/>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0106 biological sciences"/>
    <s v="fos"/>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0"/>
    <s v="co2 enrichment"/>
    <s v="free_keyword"/>
    <s v=""/>
    <x v="0"/>
    <m/>
    <m/>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1"/>
    <m/>
    <m/>
    <s v=""/>
    <x v="0"/>
    <s v="vegetation types"/>
    <s v="https://w3id.org/eusoilvoc#Vegetation"/>
    <m/>
    <n v="0.1358"/>
    <x v="1"/>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1"/>
    <m/>
    <m/>
    <s v=""/>
    <x v="0"/>
    <s v="microorganisms"/>
    <s v="https://w3id.org/eusoilvoc#Microorganisms"/>
    <m/>
    <n v="0.1114"/>
    <x v="2"/>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1"/>
    <m/>
    <m/>
    <s v=""/>
    <x v="0"/>
    <s v="microorganisms"/>
    <s v="https://w3id.org/eusoilvoc#Microbes"/>
    <m/>
    <n v="0.1114"/>
    <x v="3"/>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1"/>
    <m/>
    <m/>
    <s v=""/>
    <x v="0"/>
    <s v="soil carbon dioxide production"/>
    <s v="https://w3id.org/eusoilvoc#SoilCarbonDioxideProduction"/>
    <m/>
    <n v="5.11E-2"/>
    <x v="4"/>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2"/>
    <m/>
    <m/>
    <s v=""/>
    <x v="0"/>
    <s v="environmental factors"/>
    <s v="https://w3id.org/eusoilvoc#EnvironmentalFactors"/>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2"/>
    <m/>
    <m/>
    <s v=""/>
    <x v="0"/>
    <s v="soil water availability"/>
    <s v="https://w3id.org/eusoilvoc#SoilWaterAvailability"/>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2"/>
    <m/>
    <m/>
    <s v=""/>
    <x v="0"/>
    <s v="biomass"/>
    <s v="https://w3id.org/eusoilvoc#Biomass"/>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2"/>
    <m/>
    <m/>
    <s v=""/>
    <x v="0"/>
    <s v="soil water"/>
    <s v="https://w3id.org/eusoilvoc#SoilWater"/>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2"/>
    <m/>
    <m/>
    <s v=""/>
    <x v="0"/>
    <s v="soil"/>
    <s v="https://w3id.org/eusoilvoc#Soil"/>
    <m/>
    <m/>
    <x v="0"/>
    <x v="0"/>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biomass"/>
    <s v="https://w3id.org/eusoilvoc#Biomass"/>
    <m/>
    <m/>
    <x v="0"/>
    <x v="1"/>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biomass productivity"/>
    <s v="https://w3id.org/eusoilvoc#BiomassProductivity"/>
    <m/>
    <m/>
    <x v="0"/>
    <x v="2"/>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soil water availability"/>
    <s v="https://w3id.org/eusoilvoc#SoilWaterAvailability"/>
    <m/>
    <m/>
    <x v="0"/>
    <x v="3"/>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environmental factors"/>
    <s v="https://w3id.org/eusoilvoc#EnvironmentalFactors"/>
    <m/>
    <m/>
    <x v="0"/>
    <x v="4"/>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plant available water capacity"/>
    <s v="https://w3id.org/eusoilvoc#PlantAvailableWaterCapacity"/>
    <m/>
    <m/>
    <x v="0"/>
    <x v="5"/>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vegetation"/>
    <s v="https://w3id.org/eusoilvoc#Vegetation"/>
    <m/>
    <m/>
    <x v="0"/>
    <x v="6"/>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soil moisture"/>
    <s v="https://w3id.org/eusoilvoc#SoilMoisture"/>
    <m/>
    <m/>
    <x v="0"/>
    <x v="7"/>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precipitation"/>
    <s v="https://w3id.org/eusoilvoc#Precipitation"/>
    <m/>
    <m/>
    <x v="0"/>
    <x v="8"/>
    <n v="0"/>
    <n v="0"/>
  </r>
  <r>
    <s v="https://doi.org/10.1111/j.1469-8137.2004.00977.x"/>
    <s v="Response Of An Understory Plant Community To Elevated [Co2] Depends On Differential Responses Of Dominant Invasive Species And Is Mediated By Soil Water Availability"/>
    <s v="Rising Atmospheric Co2 Concentrations Are Likely To Have Direct Effects On Terrestrial Ecosystems. Here, We Describe Effects Of Elevated Concentrations Of Co2 On An Understory Plant Community In Terms Of Production And Community Composition. In 2001 And 2002 Total And Species-Specific Above-Ground Net Primary Productivity (Anpp) Were Estimated By Harvesting Above-Ground Biomass Within An Understory Community Receiving Ambient [Co2] And Elevated [Co2] At Oak Ridge National Laboratory'S Free-Air Carbon Dioxide Enrichment (Face) Facility. During A Wet Year, Community Composition Differed Between Plots Receiving Ambient [Co2] And Elevated [Co2], But Total Anpp Did Not Differ. By Contrast, During A Drier Year, Community Composition Did Not Differ, But Total Anpp Was Greater In Elevated Than Ambient [Co2] Plots. These Patterns Were Driven By The Response Of Two Codominant Species, Lonicera Japonica And Microstegium Vimineum, Both Considered Invasive Species In The South-Eastern United States. The Anpp Of L. Japonica Was Consistently Greater Under Elevated [Co2], Whereas The Response Of M. Vimineum To Co2 Enrichment Differed Between Years And Mediated Total Community Response. These Data Suggest That Community And Species Responses To A Future, Co2-Enriched Atmosphere May Be Mediated By Other Environmental Factors And Will Depend On Individual Species Responses."/>
    <s v="en"/>
    <x v="3"/>
    <s v=""/>
    <s v=""/>
    <s v=""/>
    <x v="0"/>
    <s v="carbon pools"/>
    <s v="https://w3id.org/eusoilvoc#CarbonPools"/>
    <m/>
    <m/>
    <x v="0"/>
    <x v="9"/>
    <n v="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2. zero hunger"/>
    <s v="sdg"/>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15. life on land"/>
    <s v="sdg"/>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6. clean water"/>
    <s v="sdg"/>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0401 agriculture, forestry, and fisheries"/>
    <s v="fos"/>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13. climate action"/>
    <s v="sdg"/>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0"/>
    <s v="04 agricultural and veterinary sciences"/>
    <s v="fos"/>
    <s v=""/>
    <x v="0"/>
    <m/>
    <m/>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3"/>
    <s v="soil organic matter contents"/>
    <s v="https://w3id.org/eusoilvoc#SoilOrganicMatterContents"/>
    <m/>
    <n v="0.3498"/>
    <x v="1"/>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3"/>
    <s v="soil organic matter"/>
    <s v="https://w3id.org/eusoilvoc#SoilOrganicMatter"/>
    <b v="1"/>
    <n v="0.1565"/>
    <x v="2"/>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3"/>
    <s v="soil organic matter class"/>
    <s v="https://w3id.org/eusoilvoc#SoilOrganicMatterClass"/>
    <m/>
    <n v="0.1106"/>
    <x v="3"/>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3"/>
    <s v="critical soil organic matter contents"/>
    <s v="https://w3id.org/eusoilvoc#CriticalSoilOrganicMatterContents"/>
    <m/>
    <n v="8.0600000000000005E-2"/>
    <x v="4"/>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2"/>
    <s v="soil nitrogen loss"/>
    <s v="https://w3id.org/eusoilvoc#SoilNLoss"/>
    <m/>
    <n v="6.8500000000000005E-2"/>
    <x v="5"/>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1"/>
    <m/>
    <m/>
    <s v=""/>
    <x v="3"/>
    <s v="soil oxygen concentration"/>
    <s v="https://w3id.org/eusoilvoc#SoilOxygenConcentration"/>
    <m/>
    <n v="5.3100000000000001E-2"/>
    <x v="6"/>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2"/>
    <m/>
    <m/>
    <s v=""/>
    <x v="2"/>
    <s v="nitrogen"/>
    <s v="https://w3id.org/eusoilvoc#Nitrogen"/>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2"/>
    <m/>
    <m/>
    <s v=""/>
    <x v="2"/>
    <s v="soil"/>
    <s v="https://w3id.org/eusoilvoc#Soil"/>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2"/>
    <m/>
    <m/>
    <s v=""/>
    <x v="2"/>
    <s v="emissions"/>
    <s v="https://w3id.org/eusoilvoc#Emissions"/>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2"/>
    <m/>
    <m/>
    <s v=""/>
    <x v="2"/>
    <s v="season"/>
    <s v="https://w3id.org/eusoilvoc#Season"/>
    <m/>
    <m/>
    <x v="0"/>
    <x v="0"/>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emissions"/>
    <s v="https://w3id.org/eusoilvoc#Emissions"/>
    <m/>
    <m/>
    <x v="0"/>
    <x v="1"/>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soil methanogenesis"/>
    <s v="https://w3id.org/eusoilvoc#SoilMethanogenesis"/>
    <m/>
    <m/>
    <x v="0"/>
    <x v="2"/>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soil denitrification"/>
    <s v="https://w3id.org/eusoilvoc#SoilDenitrification"/>
    <m/>
    <m/>
    <x v="0"/>
    <x v="3"/>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flooding"/>
    <s v="https://w3id.org/eusoilvoc#Inundation"/>
    <m/>
    <m/>
    <x v="0"/>
    <x v="4"/>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nitrogen"/>
    <s v="https://w3id.org/eusoilvoc#Nitrogen"/>
    <m/>
    <m/>
    <x v="0"/>
    <x v="17"/>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soil organic matter"/>
    <s v="https://w3id.org/eusoilvoc#SoilOrganicMatter"/>
    <m/>
    <m/>
    <x v="0"/>
    <x v="5"/>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controlled drainage"/>
    <s v="https://w3id.org/eusoilvoc#ControlledDrainage"/>
    <m/>
    <m/>
    <x v="0"/>
    <x v="6"/>
    <n v="10"/>
    <n v="0"/>
  </r>
  <r>
    <s v="https://doi.org/10.2136/sssaj1997.03615995006100030038x"/>
    <s v="Automated Chamber Measurements Of Methane And Nitrous Oxide Flux In A Flooded Rice Soil .1. Residue, Nitrogen, And Water Management"/>
    <s v="Methane And N2o Are Gases That Are Several Times More Radiatively Active Than Co2. It Is Well Known That Flooded Rice (Oryza Sativa L.) Soils Are A Globally Important Source Of Atmospheric Ch4. Mitigation Strategies For Ch4 Flux, Such As Mid-Season Drainage, Might Have The Opposite Effect On Nio Emissions. An Automated Chamber System At The International Rice Research Institute In The Philippines Measured Ch4 And N2o Nu?Res From Flooded Rice And Fallow Rice Fields Essentially 24 H A Day Between December 1992 And April 1994. This Period Included Two Irrigated Dry Rite-Growing Seasons (Ds) And One Wet Rice-Growing Season (Ws). Nitrous Oxide Fluxes Were Generally Barely Detectable During The Growing Seasons, But Small Peaks (Maximum 3.5 Mg N2o-N M(-2) D(-1)) Appeared After N Fertilizer Applications. Methane Fluxes, On The Other Hand, Were Evident Throughout The Rice-Growing Seasons. Organic Matter Additions As Straw (5.5 T Ha(-1), Dry) Or Green Manure (Gm; Sesbania Rostrata L.; 12 T Ha(-1), Wet) Stimulated Chi Flux Severalfold. Seasonal Ch4 Flux With Ammonium Sulfate (As) Was One-Fourth To One-Third The Flux With Urea. During Tile Ds, However, The Seasonal N2o Flux Was 2.5 Times Higher With As Than With Urea. Mid-Season Drainage (2-Wk Duration) At Either Mid-Tillering Or Panicle Initiation Was Very Successful In Suppressing Ch4 Flux Up To 60%. However, N2o Flux Increased Sharply During The Drainage Period At Mid-Tillering Until Reflooding, When It Dropped Back To Near Zero."/>
    <s v="en"/>
    <x v="3"/>
    <s v=""/>
    <s v=""/>
    <s v=""/>
    <x v="0"/>
    <s v="soil microbial activity"/>
    <s v="https://w3id.org/eusoilvoc#SoilMicrobialActivity"/>
    <m/>
    <m/>
    <x v="0"/>
    <x v="7"/>
    <n v="1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organic carbon"/>
    <s v="https://w3id.org/eusoilvoc#SoilOrganicCarbon"/>
    <b v="1"/>
    <n v="0.95920000000000005"/>
    <x v="1"/>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N loss"/>
    <s v="https://w3id.org/eusoilvoc#SoilNLoss"/>
    <m/>
    <n v="0.9294"/>
    <x v="2"/>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volume change"/>
    <s v="https://w3id.org/eusoilvoc#SoilVolumeChange"/>
    <m/>
    <n v="0.75090000000000001"/>
    <x v="3"/>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inorganic carbon"/>
    <s v="https://w3id.org/eusoilvoc#SoilInorganicCarbon"/>
    <b v="1"/>
    <n v="0.38729999999999998"/>
    <x v="4"/>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structural change"/>
    <s v="https://w3id.org/eusoilvoc#SoilStructuralChange"/>
    <m/>
    <n v="0.36149999999999999"/>
    <x v="5"/>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organic matter"/>
    <s v="https://w3id.org/eusoilvoc#SoilOrganicMatter"/>
    <b v="1"/>
    <n v="0.27629999999999999"/>
    <x v="6"/>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depth sampled"/>
    <s v="https://w3id.org/eusoilvoc#SoilDepthSampled"/>
    <m/>
    <n v="0.2535"/>
    <x v="7"/>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organic carbon loss"/>
    <s v="https://w3id.org/eusoilvoc#SOCLoss"/>
    <m/>
    <n v="0.17380000000000001"/>
    <x v="8"/>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aggregate degree"/>
    <s v="https://w3id.org/eusoilvoc#SoilAggregateDegree"/>
    <m/>
    <n v="0.14460000000000001"/>
    <x v="9"/>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age"/>
    <s v="https://w3id.org/eusoilvoc#SoilAge"/>
    <m/>
    <n v="0.1125"/>
    <x v="10"/>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structural decline"/>
    <s v="https://w3id.org/eusoilvoc#SoilStructuralDecline"/>
    <m/>
    <n v="9.8599999999999993E-2"/>
    <x v="11"/>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filtering capacity"/>
    <s v="https://w3id.org/eusoilvoc#SoilFilteringCapacity"/>
    <m/>
    <n v="8.2900000000000001E-2"/>
    <x v="12"/>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1"/>
    <m/>
    <m/>
    <s v=""/>
    <x v="0"/>
    <s v="soil indicator"/>
    <s v="https://w3id.org/eusoilvoc#SoilIndicators"/>
    <m/>
    <n v="7.2800000000000004E-2"/>
    <x v="13"/>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2"/>
    <m/>
    <m/>
    <s v=""/>
    <x v="0"/>
    <s v="soil"/>
    <s v="https://w3id.org/eusoilvoc#Soil"/>
    <m/>
    <m/>
    <x v="0"/>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2"/>
    <m/>
    <m/>
    <s v=""/>
    <x v="0"/>
    <s v="nitrogen"/>
    <s v="https://w3id.org/eusoilvoc#Nitrogen"/>
    <m/>
    <m/>
    <x v="0"/>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2"/>
    <m/>
    <m/>
    <s v=""/>
    <x v="0"/>
    <s v="biomass"/>
    <s v="https://w3id.org/eusoilvoc#Biomass"/>
    <m/>
    <m/>
    <x v="0"/>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2"/>
    <m/>
    <m/>
    <s v=""/>
    <x v="0"/>
    <s v="SOC"/>
    <s v="https://w3id.org/eusoilvoc#SoilOrganicCarbon"/>
    <b v="1"/>
    <m/>
    <x v="0"/>
    <x v="0"/>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soil organic carbon"/>
    <s v="https://w3id.org/eusoilvoc#SoilOrganicCarbon"/>
    <m/>
    <m/>
    <x v="0"/>
    <x v="1"/>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nitrogen"/>
    <s v="https://w3id.org/eusoilvoc#Nitrogen"/>
    <m/>
    <m/>
    <x v="0"/>
    <x v="3"/>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carbon storage capacity"/>
    <s v="https://w3id.org/eusoilvoc#CarbonStorageCapacity"/>
    <m/>
    <m/>
    <x v="0"/>
    <x v="4"/>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calcium"/>
    <s v="https://w3id.org/eusoilvoc#Calcium"/>
    <m/>
    <m/>
    <x v="0"/>
    <x v="17"/>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magnesium"/>
    <s v="https://w3id.org/eusoilvoc#Magnesium"/>
    <m/>
    <m/>
    <x v="0"/>
    <x v="5"/>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potassium"/>
    <s v="https://w3id.org/eusoilvoc#Potassium"/>
    <m/>
    <m/>
    <x v="0"/>
    <x v="6"/>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biomass"/>
    <s v="https://w3id.org/eusoilvoc#Biomass"/>
    <m/>
    <m/>
    <x v="0"/>
    <x v="7"/>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carbon pools"/>
    <s v="https://w3id.org/eusoilvoc#CarbonPools"/>
    <m/>
    <m/>
    <x v="0"/>
    <x v="8"/>
    <n v="0"/>
    <n v="0"/>
  </r>
  <r>
    <s v="https://doi.org/10.2136/sssaj2003.1620"/>
    <s v="Interpretation Of Soil Carbon And Nitrogen Dynamics In Agricultural And Afforested Soils"/>
    <s v="Interpretation Of Soil Organic C (Soc) Dynamics Depends Heavily On Analytical Methods And Management Systems Studied. Comparison Of Data From Long-Term Corn (Zea Mays)-Plot Soils In Eastern North America Showed Mean Residence Times (Mrts) Of Soc Determined By C-14 Dating Were 176 Times Those Measured With C-13 Abundance Following A 30-Yr Replacement Of C-3 By C-4 Plants On The Same Soils. However, Mrts Of The Two Methods Were Related (R(2) = 0.71). Field C-13 Mrts Of Soc Were Also Related (R-2 = 0.55 To 0.85) To Those Measured By (Co2)-C-13 Evolution And Curve Fitting During Laboratory Incubation. The Strong Relations, But Different Mrts, Were Interpreted To Mean That The Three Methods Sampled Different Parts Of A Soc Continuum. The Soc Of All Parts Of This Continuum Must Be Affected By The Same Controls On Soc Dynamics For This To Occur. Methods For Site Selection, Plant Biomass, Soil Sampling And Analysis Were Tested On Agricultural, Afforested-Agriculture, And Native Forest Sites To Determine The Controls On Soc Dynamics. Soil-C Changes After Afforestation Were -0.07 To 0.55 Mg C Ha(-1) Yr(-1) On Deciduous Sites And -0.85 To 0.58 Mg C Ha(-1) Yr(-1) Under Conifers. Soil N Changes Under Afforestation Ranged From -0.1 To 0.025 Mg N Ha(-1) Yr(-1). Ecosystem N Accumulation Was -0.09 To 0.08 Mg N Ha(-1) Yr(-1). Soil C And N Sequestration But Not Plant Biomass Were Related To Soil Ca, Mg, And K Contents. Comparative, Independent Assays Of Long-Term Plots Provides Information For Concept Testing And The Confidence Necessary For Decision-Makers Determining C-Cycle Policies."/>
    <s v="en"/>
    <x v="3"/>
    <s v=""/>
    <s v=""/>
    <s v=""/>
    <x v="0"/>
    <s v="land use forest"/>
    <s v="https://w3id.org/eusoilvoc#LandUseForests"/>
    <m/>
    <m/>
    <x v="0"/>
    <x v="9"/>
    <n v="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3"/>
    <s v="soil depth sampled"/>
    <s v="https://w3id.org/eusoilvoc#SoilDepthSampled"/>
    <m/>
    <n v="0.88170000000000004"/>
    <x v="1"/>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2"/>
    <s v="soil health"/>
    <s v="https://w3id.org/eusoilvoc#SoilHealth"/>
    <m/>
    <n v="0.16589999999999999"/>
    <x v="2"/>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2"/>
    <s v="soil health"/>
    <s v="https://w3id.org/eusoilvoc#SoilQuality"/>
    <m/>
    <n v="0.16589999999999999"/>
    <x v="3"/>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3"/>
    <s v="soil ecological degradation"/>
    <s v="https://w3id.org/eusoilvoc#SoilEcologicalDegradation"/>
    <m/>
    <n v="9.4299999999999995E-2"/>
    <x v="4"/>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3"/>
    <s v="soil contents"/>
    <s v="https://w3id.org/eusoilvoc#SoilContents"/>
    <m/>
    <n v="8.8999999999999996E-2"/>
    <x v="5"/>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1"/>
    <m/>
    <m/>
    <s v=""/>
    <x v="3"/>
    <s v="soil wetness"/>
    <s v="https://w3id.org/eusoilvoc#SoilWetness"/>
    <m/>
    <n v="8.2699999999999996E-2"/>
    <x v="6"/>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2"/>
    <m/>
    <m/>
    <s v=""/>
    <x v="2"/>
    <s v="soil"/>
    <s v="https://w3id.org/eusoilvoc#Soil"/>
    <m/>
    <m/>
    <x v="0"/>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2"/>
    <m/>
    <m/>
    <s v=""/>
    <x v="2"/>
    <s v="soil health"/>
    <s v="https://w3id.org/eusoilvoc#SoilHealth"/>
    <m/>
    <m/>
    <x v="0"/>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2"/>
    <m/>
    <m/>
    <s v=""/>
    <x v="2"/>
    <s v="soil health"/>
    <s v="https://w3id.org/eusoilvoc#SoilQuality"/>
    <m/>
    <m/>
    <x v="0"/>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2"/>
    <m/>
    <m/>
    <s v=""/>
    <x v="3"/>
    <s v="climate"/>
    <s v="https://w3id.org/eusoilvoc#Climate"/>
    <m/>
    <m/>
    <x v="0"/>
    <x v="0"/>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3"/>
    <s v=""/>
    <s v=""/>
    <s v=""/>
    <x v="0"/>
    <s v="soil health"/>
    <s v="https://w3id.org/eusoilvoc#SoilHealth"/>
    <m/>
    <m/>
    <x v="0"/>
    <x v="1"/>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3"/>
    <s v=""/>
    <s v=""/>
    <s v=""/>
    <x v="0"/>
    <s v="soil health"/>
    <s v="https://w3id.org/eusoilvoc#SoilQuality"/>
    <m/>
    <m/>
    <x v="0"/>
    <x v="1"/>
    <n v="10"/>
    <n v="0"/>
  </r>
  <r>
    <s v="https://doi.org/10.34725/DVN/66BFOB"/>
    <s v="Wet chemistry data for a subset of AfSIS: Phase I archived soil samples"/>
    <s v="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quot;BBS/OS/GC/000014B: Chemical and Biological Assessment of AfSIS soils&quot;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quot;Mid-Infrared Spectra (MIRS) from ICRAF Soil and Plant Spectroscopy Laboratory: Africa Soil Information Service (AfSIS) Phase I 2009-2013&quot;, https://doi.org/10.34725/DVN/QXCWP1, World Agroforestry - Research Data Repository, V1."/>
    <s v="en"/>
    <x v="3"/>
    <s v=""/>
    <s v=""/>
    <s v=""/>
    <x v="0"/>
    <s v="soil depth"/>
    <s v="https://w3id.org/eusoilvoc#SoilDepth"/>
    <m/>
    <m/>
    <x v="0"/>
    <x v="2"/>
    <n v="1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microbial activity"/>
    <s v="https://w3id.org/eusoilvoc#SoilMicrobialActivity"/>
    <m/>
    <n v="0.96840000000000004"/>
    <x v="1"/>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availability"/>
    <s v="https://w3id.org/eusoilvoc#SoilNutrientAvailability"/>
    <m/>
    <n v="0.65920000000000001"/>
    <x v="2"/>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s v="https://w3id.org/eusoilvoc#SoilNutrients"/>
    <m/>
    <n v="0.51019999999999999"/>
    <x v="3"/>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organic carbon loss"/>
    <s v="https://w3id.org/eusoilvoc#SOCLoss"/>
    <m/>
    <n v="0.42880000000000001"/>
    <x v="4"/>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retention"/>
    <s v="https://w3id.org/eusoilvoc#SoilNutrientRetention"/>
    <m/>
    <n v="0.4088"/>
    <x v="5"/>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plant nutrient uptake"/>
    <s v="https://w3id.org/eusoilvoc#PlantNutrientUptake"/>
    <m/>
    <n v="0.36649999999999999"/>
    <x v="6"/>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critical soil organic matter content"/>
    <s v="https://w3id.org/eusoilvoc#CriticalSoilOrganicMatterContents"/>
    <m/>
    <n v="0.36620000000000003"/>
    <x v="7"/>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microbiota"/>
    <s v="https://w3id.org/eusoilvoc#SoilMicrofauna"/>
    <m/>
    <n v="0.27839999999999998"/>
    <x v="8"/>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loss"/>
    <s v="https://w3id.org/eusoilvoc#SoilNutrientLoss"/>
    <m/>
    <n v="0.2253"/>
    <x v="9"/>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content"/>
    <s v="https://w3id.org/eusoilvoc#SoilProductivity"/>
    <m/>
    <n v="0.18179999999999999"/>
    <x v="1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microbial biomass"/>
    <s v="https://w3id.org/eusoilvoc#SoilMicrobialBiomass"/>
    <m/>
    <n v="0.16400000000000001"/>
    <x v="11"/>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biological function"/>
    <s v="https://w3id.org/eusoilvoc#SoilBiologicalFunctions"/>
    <m/>
    <n v="0.1343"/>
    <x v="12"/>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nutrient holding capacity"/>
    <s v="https://w3id.org/eusoilvoc#SoilNutrientHoldingCapacity"/>
    <m/>
    <n v="0.1134"/>
    <x v="13"/>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biological properties"/>
    <s v="https://w3id.org/eusoilvoc#SoilBiologicalProperties"/>
    <m/>
    <n v="0.108"/>
    <x v="14"/>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biological processes"/>
    <s v="https://w3id.org/eusoilvoc#SoilBiologicalProcesses"/>
    <m/>
    <n v="9.0300000000000005E-2"/>
    <x v="15"/>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1"/>
    <m/>
    <m/>
    <s v=""/>
    <x v="0"/>
    <s v="soil microbial respiration"/>
    <s v="https://w3id.org/eusoilvoc#SoilMicrobialRespiration"/>
    <m/>
    <n v="6.8000000000000005E-2"/>
    <x v="16"/>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nutrients"/>
    <s v="https://w3id.org/eusoilvoc#SoilNutrients"/>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nutrient"/>
    <s v="https://w3id.org/eusoilvoc#SoilNutrients"/>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water content"/>
    <s v="https://w3id.org/eusoilvoc#SoilMoisture"/>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water content"/>
    <s v="https://w3id.org/eusoilvoc#SoilWaterContents"/>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s v="https://w3id.org/eusoilvoc#Soil"/>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water"/>
    <s v="https://w3id.org/eusoilvoc#SoilWater"/>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soil organic carbon"/>
    <s v="https://w3id.org/eusoilvoc#SoilOrganicCarbon"/>
    <b v="1"/>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nitrogen"/>
    <s v="https://w3id.org/eusoilvoc#Nitrogen"/>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roots"/>
    <s v="https://w3id.org/eusoilvoc#Roots"/>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2"/>
    <m/>
    <m/>
    <s v=""/>
    <x v="0"/>
    <s v="tree"/>
    <s v="https://w3id.org/eusoilvoc#Trees"/>
    <m/>
    <m/>
    <x v="0"/>
    <x v="0"/>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organic carbon"/>
    <s v="https://w3id.org/eusoilvoc#SoilOrganicCarbon"/>
    <m/>
    <m/>
    <x v="0"/>
    <x v="1"/>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nitrogen"/>
    <s v="https://w3id.org/eusoilvoc#Nitrogen"/>
    <m/>
    <m/>
    <x v="0"/>
    <x v="2"/>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water content"/>
    <s v="https://w3id.org/eusoilvoc#SoilMoisture"/>
    <m/>
    <m/>
    <x v="0"/>
    <x v="3"/>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water content"/>
    <s v="https://w3id.org/eusoilvoc#SoilWaterContents"/>
    <m/>
    <m/>
    <x v="0"/>
    <x v="3"/>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nutrient availability"/>
    <s v="https://w3id.org/eusoilvoc#SoilNutrientAvailability"/>
    <m/>
    <m/>
    <x v="0"/>
    <x v="4"/>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plant nutrient uptake"/>
    <s v="https://w3id.org/eusoilvoc#PlantNutrientUptake"/>
    <m/>
    <m/>
    <x v="0"/>
    <x v="17"/>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nutrient dynamics"/>
    <s v="https://w3id.org/eusoilvoc#NutrientDynamics"/>
    <m/>
    <m/>
    <x v="0"/>
    <x v="5"/>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microbial activity"/>
    <s v="https://w3id.org/eusoilvoc#SoilMicrobialActivity"/>
    <m/>
    <m/>
    <x v="0"/>
    <x v="6"/>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soil organic matter"/>
    <s v="https://w3id.org/eusoilvoc#SoilOrganicMatter"/>
    <m/>
    <m/>
    <x v="0"/>
    <x v="7"/>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roots"/>
    <s v="https://w3id.org/eusoilvoc#Roots"/>
    <m/>
    <m/>
    <x v="0"/>
    <x v="8"/>
    <n v="0"/>
    <n v="0"/>
  </r>
  <r>
    <s v="https://doi.org/10.5061/dryad.9kd51c5n4"/>
    <s v="Species of fast bulk-soil nutrient cycling have lower rhizosphere effects: A nutrient spectrum of rhizosphere effects"/>
    <s v="&lt;p&gt;Tree roots not only acquire readily-usable soil nutrients but also affect microbial decomposition and manipulate nutrient availability in their surrounding soils, i.e., rhizosphere effects (REs). Thus, REs challenge the basic understanding how plants adapt to environment and co-exist with other species. Yet, how REs vary among species in response to species-specific bulk soil nutrient cycling is not well-known. Here we studied how plant-controlled microbial decomposition activities in rhizosphere soils respond to those in their corresponding bulk soils and whether these relations depend on species-specific nutrient cycling in the bulk soils. We targeted 55 woody species of different clades and mycorrhizal types in three contrasting biomes, namely a temperate forest, a subtropical forest and a tropical forest. We found that microbial decomposition activities in rhizosphere soils responded linearly to those in their corresponding bulk soils at the species level. Thereafter, we found that REs (parameters in rhizosphere soils minus those in corresponding bulk soils) of microbial decomposition activities had negative linear correlations with microbial decomposition activities in corresponding bulk soils. A multiple factor analysis revealed that soil organic carbon, total nitrogen and soil water content favored bulk soil decomposition activities in all three biomes, showing that the magnitude of REs varied along a fast-slow nutrient cycling spectrum in bulk soils. The species of fast nutrient cycling in their bulk soils tended to have smaller or even negative REs. Therefore, woody plants commonly utilize both positive and negative REs as a nutrient-acquisition strategy. Based on the trade-offs between REs and other nutrient-acquisition strategies, we proposed a push and pull conceptual model which can bring plant nutrient-acquisition cost and plant carbon economics spectrum together in the future. This model will facilitate not only the carbon and nutrient cycling but also the mechanisms of species co-existence in forest ecosystems.&lt;/p&gt;"/>
    <s v="en"/>
    <x v="3"/>
    <s v=""/>
    <s v=""/>
    <s v=""/>
    <x v="0"/>
    <s v="trees"/>
    <s v="https://w3id.org/eusoilvoc#Trees"/>
    <m/>
    <m/>
    <x v="0"/>
    <x v="9"/>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carbon"/>
    <s v="https://w3id.org/eusoilvoc#SoilOrganicCarbon"/>
    <b v="1"/>
    <n v="0.99929999999999997"/>
    <x v="1"/>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depth sampled"/>
    <s v="https://w3id.org/eusoilvoc#SoilDepthSampled"/>
    <m/>
    <n v="0.99650000000000005"/>
    <x v="2"/>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bulk density whole soil"/>
    <s v="https://w3id.org/eusoilvoc#BulkDensityWholeSoil"/>
    <b v="1"/>
    <n v="0.9748"/>
    <x v="3"/>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depth bedrock"/>
    <s v="https://w3id.org/eusoilvoc#SoilDepthBedrock"/>
    <m/>
    <n v="0.96899999999999997"/>
    <x v="4"/>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bulk density"/>
    <s v="https://w3id.org/eusoilvoc#SoilBulkDensity"/>
    <m/>
    <n v="0.94540000000000002"/>
    <x v="5"/>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particle size"/>
    <s v="https://w3id.org/eusoilvoc#SoilParticleSize"/>
    <m/>
    <n v="0.91110000000000002"/>
    <x v="6"/>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inorganic carbon"/>
    <s v="https://w3id.org/eusoilvoc#SoilInorganicCarbon"/>
    <b v="1"/>
    <n v="0.91080000000000005"/>
    <x v="7"/>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depth"/>
    <s v="https://w3id.org/eusoilvoc#SoilDepth"/>
    <m/>
    <n v="0.89559999999999995"/>
    <x v="8"/>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bulk density (soil)"/>
    <s v="https://w3id.org/eusoilvoc#SoilDensity"/>
    <m/>
    <n v="0.88880000000000003"/>
    <x v="9"/>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spatial properties"/>
    <s v="https://w3id.org/eusoilvoc#SoilSpatialProperties"/>
    <m/>
    <n v="0.69099999999999995"/>
    <x v="1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carbon loss"/>
    <s v="https://w3id.org/eusoilvoc#SOCLoss"/>
    <m/>
    <n v="0.65290000000000004"/>
    <x v="11"/>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wet soil bulk density"/>
    <s v="https://w3id.org/eusoilvoc#WetSoilBulkDensity"/>
    <m/>
    <n v="0.58420000000000005"/>
    <x v="12"/>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matter"/>
    <s v="https://w3id.org/eusoilvoc#SoilOrganicMatter"/>
    <b v="1"/>
    <n v="0.51149999999999995"/>
    <x v="13"/>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pH"/>
    <s v="https://w3id.org/eusoilvoc#SoilpH"/>
    <b v="1"/>
    <n v="0.49280000000000002"/>
    <x v="14"/>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environmental functions"/>
    <s v="https://w3id.org/eusoilvoc#SoilEnvironmentalFunctions"/>
    <m/>
    <n v="0.47010000000000002"/>
    <x v="15"/>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total carbon"/>
    <s v="https://w3id.org/eusoilvoc#SoilTotalCarbon"/>
    <b v="1"/>
    <n v="0.43909999999999999"/>
    <x v="16"/>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component"/>
    <s v="https://w3id.org/eusoilvoc#SoilOrganicComponents"/>
    <m/>
    <n v="0.3664"/>
    <x v="17"/>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luble salts"/>
    <s v="https://w3id.org/eusoilvoc#SolubleSalts"/>
    <b v="1"/>
    <n v="0.28949999999999998"/>
    <x v="18"/>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matter content"/>
    <s v="https://w3id.org/eusoilvoc#SoilOrganicMatterContents"/>
    <m/>
    <n v="0.25640000000000002"/>
    <x v="19"/>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particle density"/>
    <s v="https://w3id.org/eusoilvoc#SoilParticleDensity"/>
    <m/>
    <n v="0.23130000000000001"/>
    <x v="2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aggregated silt clay"/>
    <s v="https://w3id.org/eusoilvoc#AggregatedSiltClay"/>
    <m/>
    <n v="0.2172"/>
    <x v="21"/>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aggregate size"/>
    <s v="https://w3id.org/eusoilvoc#SoilAggregateSize"/>
    <m/>
    <n v="0.20730000000000001"/>
    <x v="22"/>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carbonate"/>
    <s v="https://w3id.org/eusoilvoc#Carbonate"/>
    <m/>
    <n v="0.17780000000000001"/>
    <x v="23"/>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apparent density"/>
    <s v="https://w3id.org/eusoilvoc#SoilApparentDensity"/>
    <m/>
    <n v="0.1482"/>
    <x v="24"/>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biological degradation"/>
    <s v="https://w3id.org/eusoilvoc#SoilBiologicalDegradation"/>
    <m/>
    <n v="0.14030000000000001"/>
    <x v="25"/>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organic matter class"/>
    <s v="https://w3id.org/eusoilvoc#SoilOrganicMatterClass"/>
    <m/>
    <n v="0.12690000000000001"/>
    <x v="26"/>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true density"/>
    <s v="https://w3id.org/eusoilvoc#SoilTrueDensity"/>
    <m/>
    <n v="0.1203"/>
    <x v="27"/>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clay contents"/>
    <s v="https://w3id.org/eusoilvoc#SoilClayContents"/>
    <m/>
    <n v="0.11849999999999999"/>
    <x v="28"/>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silt content"/>
    <s v="https://w3id.org/eusoilvoc#SoilSiltContents"/>
    <m/>
    <n v="0.1096"/>
    <x v="29"/>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relative density"/>
    <s v="https://w3id.org/eusoilvoc#SoilRelativeDensity"/>
    <m/>
    <n v="9.7500000000000003E-2"/>
    <x v="3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contaminant"/>
    <s v="https://w3id.org/eusoilvoc#SoilContaminants"/>
    <m/>
    <n v="9.1899999999999996E-2"/>
    <x v="31"/>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clay mineral"/>
    <s v="https://w3id.org/eusoilvoc#SoilClayMineral"/>
    <m/>
    <n v="9.1600000000000001E-2"/>
    <x v="32"/>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indicators"/>
    <s v="https://w3id.org/eusoilvoc#SoilIndicators"/>
    <m/>
    <n v="8.3799999999999999E-2"/>
    <x v="33"/>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filtering capacity"/>
    <s v="https://w3id.org/eusoilvoc#SoilFilteringCapacity"/>
    <m/>
    <n v="7.1499999999999994E-2"/>
    <x v="34"/>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volume"/>
    <s v="https://w3id.org/eusoilvoc#SoilVolume"/>
    <m/>
    <n v="7.0400000000000004E-2"/>
    <x v="35"/>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aggregate size distribution"/>
    <s v="https://w3id.org/eusoilvoc#SoilAggregateSizeDistribution"/>
    <m/>
    <n v="5.8200000000000002E-2"/>
    <x v="36"/>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biological function"/>
    <s v="https://w3id.org/eusoilvoc#SoilBiologicalFunctions"/>
    <m/>
    <n v="5.2999999999999999E-2"/>
    <x v="37"/>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pore space"/>
    <s v="https://w3id.org/eusoilvoc#SoilPoreSpace"/>
    <m/>
    <n v="5.2600000000000001E-2"/>
    <x v="38"/>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1"/>
    <m/>
    <m/>
    <s v=""/>
    <x v="0"/>
    <s v="soil water table depth"/>
    <s v="https://w3id.org/eusoilvoc#SoilWaterTableDepth"/>
    <m/>
    <n v="5.04E-2"/>
    <x v="39"/>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phosphorus"/>
    <s v="https://w3id.org/eusoilvoc#Phosphorus"/>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carbonate"/>
    <s v="https://w3id.org/eusoilvoc#Carbonate"/>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potassium"/>
    <s v="https://w3id.org/eusoilvoc#Potassium"/>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nitrogen total"/>
    <s v="https://w3id.org/eusoilvoc#NitrogenTotal"/>
    <b v="1"/>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salts"/>
    <s v="https://w3id.org/eusoilvoc#Salts"/>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nitrogen"/>
    <s v="https://w3id.org/eusoilvoc#Nitrogen"/>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soil quality"/>
    <s v="https://w3id.org/eusoilvoc#SoilHealth"/>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soil quality"/>
    <s v="https://w3id.org/eusoilvoc#SoilQuality"/>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soil properties"/>
    <s v="https://w3id.org/eusoilvoc#SoilProperties"/>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soil"/>
    <s v="https://w3id.org/eusoilvoc#Soil"/>
    <m/>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2"/>
    <m/>
    <m/>
    <s v=""/>
    <x v="0"/>
    <s v="coarse fragments"/>
    <s v="https://w3id.org/eusoilvoc#CoarseFragments"/>
    <b v="1"/>
    <m/>
    <x v="0"/>
    <x v="0"/>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chemical properties"/>
    <s v="https://w3id.org/eusoilvoc#SoilChemicalProperties"/>
    <m/>
    <m/>
    <x v="0"/>
    <x v="1"/>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physical properties"/>
    <s v="https://w3id.org/eusoilvoc#SoilPhysicalProperties"/>
    <m/>
    <m/>
    <x v="0"/>
    <x v="2"/>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organic carbon"/>
    <s v="https://w3id.org/eusoilvoc#SoilOrganicCarbon"/>
    <m/>
    <m/>
    <x v="0"/>
    <x v="3"/>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cation exchange capacity"/>
    <s v="https://w3id.org/eusoilvoc#CationExchangeCapacity"/>
    <m/>
    <m/>
    <x v="0"/>
    <x v="4"/>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pH"/>
    <s v="https://w3id.org/eusoilvoc#SoilpH"/>
    <m/>
    <m/>
    <x v="0"/>
    <x v="17"/>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texture"/>
    <s v="https://w3id.org/eusoilvoc#SoilCohesion"/>
    <m/>
    <m/>
    <x v="0"/>
    <x v="5"/>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soil texture"/>
    <s v="https://w3id.org/eusoilvoc#SoilTexture"/>
    <m/>
    <m/>
    <x v="0"/>
    <x v="5"/>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bulk density (soil)"/>
    <s v="https://w3id.org/eusoilvoc#SoilDensity"/>
    <m/>
    <m/>
    <x v="0"/>
    <x v="6"/>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nitrogen total"/>
    <s v="https://w3id.org/eusoilvoc#NitrogenTotal"/>
    <m/>
    <m/>
    <x v="0"/>
    <x v="8"/>
    <n v="0"/>
    <n v="0"/>
  </r>
  <r>
    <s v="https://doi.org/10.5281/zenodo.10065971"/>
    <s v="Database of topsoil  chemical and physical properties in Croatia"/>
    <s v="&lt;h3&gt;Sources&lt;/h3&gt;&lt;p&gt;Data for database is collected from four main sources:&amp;nbsp;&lt;/p&gt;&lt;ul&gt;&lt;li&gt;Data published in book &quot;Martinović, J. and Vranković, A. (Editors), 1997. Baza podataka o hrvatskim tlima, I. Državna uprava za zaštitu prirode i okoliša, Zagreb&quot; labeled as &quot;martinovic_1997&quot; in the database.&lt;ul&gt;&lt;li&gt;This source consists of 2199 pedological profiles sampled from 1963 to 1996, most of which include depth to bedrock information.&lt;/li&gt;&lt;/ul&gt;&lt;/li&gt;&lt;li&gt;Data from project: &quot;Spatial variability of trace and toxic metals in agricultural soils of Croatia&quot;, Ministry of Science and Education and Croatian Waters. Project leader: prof.dr.sc. Marija Romić from Faculty of Agriculture, Zagreb, labeled as &quot;agricultural_2013&quot;.&lt;ul&gt;&lt;li&gt;Data are sampled from &quot;database of properties and quality of agricultural soils of Croatia&quot; on 8x8 km grid and consists only from top soil samples (0-30 cm). There are 811 samples in this database.&lt;/li&gt;&lt;/ul&gt;&lt;/li&gt;&lt;li&gt;Data from the the project: &quot;Change in soil carbon stocks and calculation of trends in total nitrogen and organic carbon in soil and C: N ratio&quot;, from Ministry of Environmental Protection and Energy, carried on by Croatian Geological Institute (HGI), the Croatian Forestry Institute (HŠI) and the Agricultural Land Agency (APZ).&lt;ul&gt;&lt;li&gt;This dataset consists of two subsets:&lt;ul&gt;&lt;li&gt;&quot;azo_2013&quot; - 2519 samples of topsoil (0-25 cm), from 1994 to 2004 for making of Geochemistry Atlas of Croatia&lt;/li&gt;&lt;li&gt;&quot;azo_2016&quot; - 742 locations were revisited during 2015-2016 and new samples are taken and analyzed in horizons 0-10 cm, 10-20 cm, 20-30 cm.&lt;/li&gt;&lt;/ul&gt;&lt;/li&gt;&lt;/ul&gt;&lt;/li&gt;&lt;li&gt;Network of piezometers&lt;/li&gt;&lt;/ul&gt;&lt;h3&gt;Description of sources&amp;nbsp;&lt;/h3&gt;&lt;h4&gt;Martinović, J. and Vranković, A. (Editors), 1997. Baza podataka o hrvatskim tlima (Database of Croatian Soils)&amp;nbsp;&lt;/h4&gt;&lt;p&gt;The database contains data on soil profiles and covers the total area of the Republic of Croatia. Only data accepted by external control are entered in the Database, as well as those profiles for which there is a minimum data. External control of data reliability was performed by comparing the genetical-morphological characteristics of the soil determined by field research and the data of laboratory soil analyses. The profiles for which the field and laboratory analyses are found to differ are rejected. In addition to data on soil properties, basic data on pedogenetic factors are given. The soil profiles surveyed in the period 1963-1996 are entered in the database. The majority of data come from the Basic Pedological Map of Croatia (Osnovna pedološka karta Hrvatske - OPKH) project. The following are entered in the Database: 1347 profiles in volume I and 851 profiles in volume II, a total of 2198 pedological profiles&lt;/p&gt;&lt;h4&gt;Spatial variability of trace and toxic metals in agricultural soils of Croatia, Project Leader: Marija Romić&amp;nbsp;&lt;/h4&gt;&lt;p&gt;The problem of exposure of agricultural soils to different anthropogenic inputs of toxic metals, but also of other potentially toxic substances, has acquired global dimensions in the last decades. Besides atmospheric deposition, environmental dispersion of chemicals used in agriculture is an important factor directly affecting the natural soil functions, or indirectly endangering the biosphere by bioaccumulation and inclusion into the food chain. Metal concentrations in soil can be generally predicted starting with the element abundance in the parent material. The extent to which pedogenesis affects heavy metals distribution varies according to the prevailing factors affecting soil processes. Because of the toxicity to plants and animals, it is important to determine their content, forms and distribution. Such hypotheses may be tested by total metal content determination, as well as other elements relevant for geochemical valorization of the agricultural soils of Croatia. Thus, the spatial variability and baseline of elements in soils will be determined by means of relevant statistical and geostatistical methods. The maps of toxic metal distribution will be produced and the suitability of soils for agriculture will be assessed. GIS is increasingly used in environmental assessment studies because of its ability to superimpose different spatial information and to combine them with the results of statistical analysis, enabling thus the detection of complex spatial relationships among different parameters. Geostatistics and multivariate statistics has been widely used in geochemical studies to identify pollution sources and to apportion natural vs. anthropogenic contribution, establishing a geochemical background as well. The main objectives of the investigation are: (i) to provide a geochemical database relevant to the agricultural soils in Croatia; (ii) to provide a detailed information about the natural variability of the geochemical background which is pertinent to administrative and legal issues as well as to safety food production and environmental protection; (iii) presenting the influence of human and other environmental activities on the soil quality mainly regarding the toxic and trace metal contents, and (iv) we are going to observe the influence of natural conditions on regional differences which have been widely neglected so far, and have not been taken into account while national regulations and guidelines on soil toxic metal contents have been established.&lt;/p&gt;&lt;h4&gt;Change in soil carbon stocks and calculation of trends in total nitrogen and organic carbon in soil and C: N ratio&amp;nbsp;&lt;/h4&gt;&lt;p&gt;The project is funded by the Fund for Environmental Protection and Energy Efficiency within the Program &quot;Upgrading and Development of the Environmental Information System and Improving the Monitoring and Reporting System on the State of the Environment in the Republic of Croatia&quot;, Component 2: Improving the Monitoring and Reporting System on the State of the Environment Croatia; improving the system of data collection and exchange and developing methodologies for their processing in accordance with the guidelines of the UNFCCC and the Kyoto Protocol defined by the IPCC (Intergovernmental Panel on Climate Change).&amp;nbsp;&lt;/p&gt;&lt;p&gt;The project holder is the Ministry of Environmental Protection and Energy, and the executors are the Croatian Geological Institute, the Croatian Forestry Institute and the Agricultural Land Agency.&lt;/p&gt;&lt;p&gt;In the period 2014-2017, field and laboratory research of soil conditions was conducted at 725 representative locations. General data on the location of sampling were collected, which contain administrative, locational, geographical and other data (relief, climatic and meteorological data, detailed data on land use and vegetation cover, description of surface soil properties).&lt;/p&gt;&lt;p&gt;Field soil sampling for each LULUCF land use category was performed according to a modified methodology described in the EU DG JRC (Joint Research Center) &quot;Protocol for soil sampling to confirm changes in organic carbon stocks in the EU&quot; by Stolbovoy et al. 2007 (Soil sampling protocol to certify the changes of organic carbon stock in mineral soil of the European Union - EU JRC). The protocol modifications aimed to ensure reporting under the UNFCCC and Kyoto protocols, i.e., to ensure compliance with the IPCC methodology. Soil sampling on forest land (FL) according to the JRC protocol is planned at two depths of 0-10 cm and 10 - 20 cm and an organic layer (list), but due to reporting requirements under the UNFCCC and Kyoto protocol, sampling was carried out at a depth of 20 - 30 cm. Land under crops (CL) was sampled at two depths (0-20 cm and 20-30 cm) and grasslands (GL), wetlands (WL), settlements (SL) and other land (OL) were sampled at three depths 0- 10, 10-20 and 20-30 cm. Geochemical analyzes were performed at depths of 0–10 and 20–30 cm for forest soils (FL) and for meadows and pastures (GL) while for soils under crops (CL) composite samples of 0–30 cm and 0–20 cm were analyzed.&lt;/p&gt;&lt;h4&gt;Network of piezometers&lt;/h4&gt;&lt;p&gt;To get a more accurate depth to bedrock parameter, positions of 812 piezometers are considered as they have at least 4 meters of depth to bedrock.&lt;/p&gt;&lt;h3&gt;Description of database&lt;/h3&gt;&lt;p&gt;Column names and descriptions:&lt;/p&gt;&lt;p&gt;Metadata columns:&lt;/p&gt;&lt;p&gt;&lt;strong&gt;site_key &lt;/strong&gt;- unique identifier that identifies sample in source database&amp;nbsp;&lt;br&gt;&lt;strong&gt;source_db&lt;/strong&gt; - label of source database&amp;nbsp;&lt;br&gt;&lt;strong&gt;source_sampled&lt;/strong&gt; - label of organization/team who sampled and analyzed data&amp;nbsp;&lt;br&gt;&lt;strong&gt;site_obsdate&lt;/strong&gt; - year of taking sample&amp;nbsp;&lt;br&gt;&lt;strong&gt;longitude_decimal_degrees&lt;/strong&gt; - longitude in degrees in WGS84 geographical projection&amp;nbsp;&lt;br&gt;&lt;strong&gt;latitude_decimal_degrees&lt;/strong&gt; - latitude in degrees in WGS84 geographical projection&amp;nbsp;&lt;br&gt;&lt;strong&gt;pedon_completeness_index&lt;/strong&gt; - quality factor (0-100)&amp;nbsp;&lt;br&gt;&lt;strong&gt;taxgrtgroup&lt;/strong&gt; - classification of sample according to WBR 2014/2016 classification&amp;nbsp;&lt;/p&gt;&lt;p&gt;Soil properties columns:&lt;/p&gt;&lt;p&gt;column name - property - measurement units - description&lt;br&gt;&lt;strong&gt;oc&lt;/strong&gt; - Carbon, Organic - % wt - CMS analyte. Organic carbon is a measure of all organic forms of carbon in the soil, including organic carbon within minerals.&amp;nbsp;&lt;br&gt;&lt;strong&gt;n_tot_ncs&lt;/strong&gt; - Nitrogen, Total NCS - % wt - Total nitrogen is a measure of all organic and inorganic nitrogen, including that found in nitrogen minerals.&lt;br&gt;&lt;strong&gt;ca_mehlich3&lt;/strong&gt; - Calcium, Mehlich3 Extractable &amp;nbsp;- mg/kg - The calcium extracted by the Mehlich III solution.&amp;nbsp;&lt;br&gt;&lt;strong&gt;k_mehlich3&lt;/strong&gt; - Potassium, Mehlich3 Extractable - mg/kg - The potassium extracted by the Mehlich III solution.&amp;nbsp;&lt;br&gt;&lt;strong&gt;mg_mehlich3&lt;/strong&gt; - Magnesium, Mehlich3 Extractable - mg/kg - The magnesium extracted by the Mehlich III solution.&amp;nbsp;&lt;br&gt;&lt;strong&gt;p_mehlich3&lt;/strong&gt; - Phosphorus, Mehlich3 Extractable - mg/kg - The phosphorus extracted by the Mehlich III solution.&amp;nbsp;&lt;br&gt;&lt;strong&gt;cec_sum&lt;/strong&gt; - Cation Exchange Capacity, Summary &amp;nbsp; cmol(+)/kg - The effective cation exchange capacity is calculated by BASE_SUM+AL_KCL. It is not calculated if soluble salts are present. It is reported as meq per 100 grams on a &amp;lt;2 mm base. CMS derived value default&amp;nbsp;&lt;br&gt;&lt;strong&gt;ec_satp&lt;/strong&gt; - Electrical Conductivity , Saturation Extract - dS/m - The electrical conductivity of the saturation extract is used to estimate the concentration of salts in a sample, and provides inferences on cation concentration in solution and osmotic pressure. It is reported as mmhos per centimeter.&amp;nbsp;&lt;br&gt;&lt;strong&gt;caco3&lt;/strong&gt; - Carbonates - % wt - Carbonate in the &amp;lt; 2mm fraction is measured by CO2 evolution after acid treatment. It is reported as gravimetric percent CaCO3 on a &amp;lt;2 mm base, even though carbonates of Mg, Na, K, and Fe may be present and react with the acid&lt;br&gt;&lt;strong&gt;ph_h2o&lt;/strong&gt; - pH, 1:1 Soil-Water Suspension - (NA) - The pH, 1:1 soil-water suspension is the pH of a sample measured in distilled water at a 1:1 soil:solution ratio. If wider ratios increase the pH, salts are indicated.&amp;nbsp;&lt;br&gt;&lt;strong&gt;ph_kcl&lt;/strong&gt; - The pH, 1:1 soil-KCl suspension - (NA) - The pH, 1:1 soil-KCl suspension is the pH of a sample measured in 1.0N KCl at a 1:1 soil:solution ratio. If the pH in KCl &amp;lt; pH in water, Al+++ is indicated.&amp;nbsp;&lt;br&gt;&lt;strong&gt;total_clay&lt;/strong&gt; - Clay, Total - % wt - Total clay is the soil separate with &amp;lt;0.002 mm particle diameter. Clay size carbonate is included. Total clay is reported as a weight percent of the &amp;lt;2 mm fraction.&amp;nbsp;&lt;br&gt;&lt;strong&gt;total_silt&lt;/strong&gt; - Silt, Total - % wt - Total silt is the soil separate with 0.002 to 0.05 mm particle size. It is reported as a gravimetric percent on a &amp;lt;2 mm base.&amp;nbsp;&lt;br&gt;&lt;strong&gt;total_sand&lt;/strong&gt; - Sand, Total - % wt - Total sand is the soil separate with 0.05 to 2.0 mm particle diameter. It is reported as a gravimetric percent on a &amp;lt;2 mm base.&amp;nbsp;&lt;br&gt;&lt;strong&gt;wpg2&lt;/strong&gt; - Coarse fragments - % wt - The weight fraction of particles with &amp;gt;2 mm diameter is reported as a gravimetric percent on a whole soil base.&amp;nbsp;&lt;br&gt;&lt;strong&gt;db_od&lt;/strong&gt; Bulk Density, &amp;lt;2mm Fraction, Ovendry - g/cc - Bulk density, oven dry (105 C) is the weight per unit volume of the &amp;lt;2 mm fraction, with volume measured on oven dry (105 C) natural fabric (clods). It is reported as grams per cubic centimeter on a &amp;lt;2 mm base.&amp;nbsp;&lt;br&gt;&lt;strong&gt;dbr&lt;/strong&gt; - Depth to bedrock - cm - Depth to the R horizon or similar&lt;/p&gt;"/>
    <s v="en"/>
    <x v="3"/>
    <s v=""/>
    <s v=""/>
    <s v=""/>
    <x v="0"/>
    <s v="carbonate content"/>
    <s v="https://w3id.org/eusoilvoc#CarbonateContents"/>
    <m/>
    <m/>
    <x v="0"/>
    <x v="9"/>
    <n v="0"/>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2"/>
    <s v="soil organic matter"/>
    <s v="https://w3id.org/eusoilvoc#SoilOrganicMatter"/>
    <b v="1"/>
    <n v="0.66369999999999996"/>
    <x v="1"/>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2"/>
    <s v="soil organic carbon"/>
    <s v="https://w3id.org/eusoilvoc#SoilOrganicCarbon"/>
    <b v="1"/>
    <n v="0.44640000000000002"/>
    <x v="2"/>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2"/>
    <s v="soil organic matter content"/>
    <s v="https://w3id.org/eusoilvoc#SoilOrganicMatterContents"/>
    <m/>
    <n v="0.25659999999999999"/>
    <x v="3"/>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2"/>
    <s v="soil organic matter class"/>
    <s v="https://w3id.org/eusoilvoc#SoilOrganicMatterClass"/>
    <m/>
    <n v="0.20880000000000001"/>
    <x v="4"/>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2"/>
    <s v="soil microbial biomass"/>
    <s v="https://w3id.org/eusoilvoc#SoilMicrobialBiomass"/>
    <m/>
    <n v="0.15620000000000001"/>
    <x v="5"/>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3"/>
    <s v="soil inorganic carbon"/>
    <s v="https://w3id.org/eusoilvoc#SoilInorganicCarbon"/>
    <b v="1"/>
    <n v="0.10639999999999999"/>
    <x v="6"/>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1"/>
    <m/>
    <m/>
    <s v=""/>
    <x v="3"/>
    <s v="soil organic carbon loss"/>
    <s v="https://w3id.org/eusoilvoc#SOCLoss"/>
    <m/>
    <n v="0.1023"/>
    <x v="7"/>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2"/>
    <m/>
    <m/>
    <s v=""/>
    <x v="2"/>
    <s v="soil"/>
    <s v="https://w3id.org/eusoilvoc#Soil"/>
    <m/>
    <m/>
    <x v="0"/>
    <x v="0"/>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microbial respiration"/>
    <s v="https://w3id.org/eusoilvoc#SoilMicrobialRespiration"/>
    <m/>
    <m/>
    <x v="0"/>
    <x v="1"/>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organic matter"/>
    <s v="https://w3id.org/eusoilvoc#SoilOrganicMatter"/>
    <m/>
    <m/>
    <x v="0"/>
    <x v="2"/>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organic carbon"/>
    <s v="https://w3id.org/eusoilvoc#SoilOrganicCarbon"/>
    <m/>
    <m/>
    <x v="0"/>
    <x v="3"/>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microbial biomass"/>
    <s v="https://w3id.org/eusoilvoc#SoilMicrobialBiomass"/>
    <m/>
    <m/>
    <x v="0"/>
    <x v="4"/>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microbial activity"/>
    <s v="https://w3id.org/eusoilvoc#SoilMicrobialActivity"/>
    <m/>
    <m/>
    <x v="0"/>
    <x v="17"/>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microorganisms"/>
    <s v="https://w3id.org/eusoilvoc#SoilMicrofauna"/>
    <m/>
    <m/>
    <x v="0"/>
    <x v="5"/>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respiration"/>
    <s v="https://w3id.org/eusoilvoc#SoilRespiration"/>
    <m/>
    <m/>
    <x v="0"/>
    <x v="6"/>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carbon dioxide production"/>
    <s v="https://w3id.org/eusoilvoc#SoilCarbonDioxideProduction"/>
    <m/>
    <m/>
    <x v="0"/>
    <x v="7"/>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chemical properties"/>
    <s v="https://w3id.org/eusoilvoc#SoilChemicalProperties"/>
    <m/>
    <m/>
    <x v="0"/>
    <x v="8"/>
    <n v="8"/>
    <n v="0"/>
  </r>
  <r>
    <s v="https://doi.org/10.5281/zenodo.18548081"/>
    <s v="Code and data: Microbial carbon metabolism is linked to organic matter chemistry across soil systems"/>
    <s v="&lt;p&gt;This repository contains R code and data that belong to the preprint:&lt;/p&gt;_x000a_&lt;div&gt;_x000a_&lt;div&gt;_x000a_&lt;div&gt;_x000a_&lt;div&gt;_x000a_&lt;div&gt;_x000a_&lt;div&gt;_x000a_&lt;div&gt;_x000a_&lt;div&gt;_x000a_&lt;div&gt;_x000a_&lt;div&gt;Microbial carbon metabolism is linked to organic matter chemistry across soil systems&lt;/div&gt;_x000a_&lt;/div&gt;_x000a_&lt;div&gt;Daniel Wasner, Oliver Lechtenfeld, Jan Kaesler, Sebastian Doetterl, Meret Aeppli&lt;/div&gt;_x000a_&lt;div&gt;bioRxiv 2026.01.20.700515; doi: https://doi.org/10.64898/2026.01.20.700515&lt;/div&gt;_x000a_&lt;/div&gt;_x000a_&lt;/div&gt;_x000a_&lt;/div&gt;_x000a_&lt;/div&gt;_x000a_&lt;/div&gt;_x000a_&lt;/div&gt;_x000a_&lt;/div&gt;_x000a_&lt;/div&gt;"/>
    <s v="en"/>
    <x v="3"/>
    <s v=""/>
    <s v=""/>
    <s v=""/>
    <x v="0"/>
    <s v="soil biological processes"/>
    <s v="https://w3id.org/eusoilvoc#SoilBiologicalProcesses"/>
    <m/>
    <m/>
    <x v="0"/>
    <x v="9"/>
    <n v="8"/>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0"/>
    <s v="550"/>
    <s v="free_keyword"/>
    <s v=""/>
    <x v="0"/>
    <m/>
    <m/>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0"/>
    <s v="ecology"/>
    <s v="free_keyword"/>
    <s v=""/>
    <x v="0"/>
    <m/>
    <m/>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0"/>
    <s v="04 agricultural and veterinary sciences"/>
    <s v="fos"/>
    <s v=""/>
    <x v="0"/>
    <m/>
    <m/>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0"/>
    <s v="0401 agriculture, forestry, and fisheries"/>
    <s v="fos"/>
    <s v=""/>
    <x v="0"/>
    <m/>
    <m/>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organic carbon"/>
    <s v="https://w3id.org/eusoilvoc#SoilOrganicCarbon"/>
    <b v="1"/>
    <n v="0.9365"/>
    <x v="1"/>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nitrogen loss"/>
    <s v="https://w3id.org/eusoilvoc#SoilNLoss"/>
    <m/>
    <n v="0.37919999999999998"/>
    <x v="2"/>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inorganic carbon"/>
    <s v="https://w3id.org/eusoilvoc#SoilInorganicCarbon"/>
    <b v="1"/>
    <n v="0.33550000000000002"/>
    <x v="3"/>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aggregate size"/>
    <s v="https://w3id.org/eusoilvoc#SoilAggregateSize"/>
    <m/>
    <n v="0.14779999999999999"/>
    <x v="4"/>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organic carbon loss"/>
    <s v="https://w3id.org/eusoilvoc#SOCLoss"/>
    <m/>
    <n v="0.13439999999999999"/>
    <x v="5"/>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aggregate size distribution"/>
    <s v="https://w3id.org/eusoilvoc#SoilAggregateSizeDistribution"/>
    <m/>
    <n v="5.7599999999999998E-2"/>
    <x v="6"/>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soil carbon dioxide production"/>
    <s v="https://w3id.org/eusoilvoc#SoilCarbonDioxideProduction"/>
    <m/>
    <n v="5.6099999999999997E-2"/>
    <x v="7"/>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1"/>
    <m/>
    <m/>
    <s v=""/>
    <x v="0"/>
    <s v="nitrogen"/>
    <s v="https://w3id.org/eusoilvoc#Nitrogen"/>
    <m/>
    <n v="5.2600000000000001E-2"/>
    <x v="8"/>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2"/>
    <m/>
    <m/>
    <s v=""/>
    <x v="0"/>
    <s v="soil organic carbon"/>
    <s v="https://w3id.org/eusoilvoc#SoilOrganicCarbon"/>
    <b v="1"/>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2"/>
    <m/>
    <m/>
    <s v=""/>
    <x v="0"/>
    <s v="nitrogen"/>
    <s v="https://w3id.org/eusoilvoc#Nitrogen"/>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2"/>
    <m/>
    <m/>
    <s v=""/>
    <x v="0"/>
    <s v="soil"/>
    <s v="https://w3id.org/eusoilvoc#Soil"/>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2"/>
    <m/>
    <m/>
    <s v=""/>
    <x v="0"/>
    <s v="vegetation"/>
    <s v="https://w3id.org/eusoilvoc#Vegetation"/>
    <m/>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2"/>
    <m/>
    <m/>
    <s v=""/>
    <x v="0"/>
    <s v="SOC"/>
    <s v="https://w3id.org/eusoilvoc#SoilOrganicCarbon"/>
    <b v="1"/>
    <m/>
    <x v="0"/>
    <x v="0"/>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soil organic carbon"/>
    <s v="https://w3id.org/eusoilvoc#SoilOrganicCarbon"/>
    <m/>
    <m/>
    <x v="0"/>
    <x v="1"/>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nitrogen"/>
    <s v="https://w3id.org/eusoilvoc#Nitrogen"/>
    <m/>
    <m/>
    <x v="0"/>
    <x v="2"/>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soil depth"/>
    <s v="https://w3id.org/eusoilvoc#SoilDepth"/>
    <m/>
    <m/>
    <x v="0"/>
    <x v="3"/>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vegetation types"/>
    <s v="https://w3id.org/eusoilvoc#Vegetation"/>
    <m/>
    <m/>
    <x v="0"/>
    <x v="4"/>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grass"/>
    <s v="https://w3id.org/eusoilvoc#Grasses"/>
    <m/>
    <m/>
    <x v="0"/>
    <x v="5"/>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carbon storage capacity"/>
    <s v="https://w3id.org/eusoilvoc#CarbonStorageCapacity"/>
    <m/>
    <m/>
    <x v="0"/>
    <x v="6"/>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climatic effects"/>
    <s v="https://w3id.org/eusoilvoc#Climate"/>
    <m/>
    <m/>
    <x v="0"/>
    <x v="7"/>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environmental factors"/>
    <s v="https://w3id.org/eusoilvoc#EnvironmentalFactors"/>
    <m/>
    <m/>
    <x v="0"/>
    <x v="8"/>
    <n v="0"/>
    <n v="0"/>
  </r>
  <r>
    <s v="oai:pub.epsilon.slu.se:33460"/>
    <s v="Depth-dependent responses of soil organic carbon under nitrogen deposition"/>
    <s v="Emerging evidence points out that the responses of soil organic carbon (SOC) to nitrogen (N) addition differ along the soil profile, highlighting the importance of synthesizing results from different soil layers. Here, using a global meta-analysis, we found that N addition significantly enhanced topsoil (0-30 cm) SOC by 3.7% (+/- 1.4%) in forests and grasslands. In contrast, SOC in the subsoil (30-100 cm) initially increased with N addition but decreased over time. The model selection analysis revealed that experimental duration and vegetation type are among the most important predictors across a wide range of climatic, environmental, and edaphic variables. The contrasting responses of SOC to N addition indicate the importance of considering deep soil layers, particularly for long-term continuous N deposition. Finally, the lack of depth-dependent SOC responses to N addition in experimental and modeling frameworks has likely resulted in the overestimation of changes in SOC storage under enhanced N deposition.Nitrogen addition may profoundly affect soil organic carbon (SOC), but its impact on SOC in different soil layers remains unclear. Nitrogen addition significantly enhanced SOC in the topsoil (0-30 cm), while subsoil SOC (30-100 cm) initially increased with nitrogen addition but decreased over time. These results likely imply an overestimation of soil carbon sequestration with long-term nitrogen deposition.image"/>
    <s v="en"/>
    <x v="3"/>
    <s v=""/>
    <s v=""/>
    <s v=""/>
    <x v="0"/>
    <s v="soil organic matter"/>
    <s v="https://w3id.org/eusoilvoc#SoilOrganicMatter"/>
    <m/>
    <m/>
    <x v="0"/>
    <x v="9"/>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B546A-518D-4DF1-8534-BD6847FBF44B}" name="Draaitabel3"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K14:O56" firstHeaderRow="1" firstDataRow="2" firstDataCol="1"/>
  <pivotFields count="17">
    <pivotField showAll="0"/>
    <pivotField showAll="0"/>
    <pivotField showAll="0"/>
    <pivotField showAll="0"/>
    <pivotField axis="axisRow" showAll="0">
      <items count="5">
        <item x="1"/>
        <item h="1" x="2"/>
        <item h="1" x="3"/>
        <item h="1" x="0"/>
        <item t="default"/>
      </items>
    </pivotField>
    <pivotField showAll="0"/>
    <pivotField showAll="0"/>
    <pivotField showAll="0"/>
    <pivotField axis="axisCol" dataField="1" showAll="0">
      <items count="5">
        <item x="1"/>
        <item x="2"/>
        <item x="3"/>
        <item x="0"/>
        <item t="default"/>
      </items>
    </pivotField>
    <pivotField showAll="0"/>
    <pivotField showAll="0"/>
    <pivotField showAll="0"/>
    <pivotField showAll="0"/>
    <pivotField axis="axisRow" showAll="0" defaultSubtotal="0">
      <items count="4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0"/>
      </items>
    </pivotField>
    <pivotField showAll="0">
      <items count="19">
        <item x="1"/>
        <item x="2"/>
        <item x="3"/>
        <item x="4"/>
        <item x="17"/>
        <item x="5"/>
        <item x="6"/>
        <item x="7"/>
        <item x="8"/>
        <item x="9"/>
        <item x="10"/>
        <item x="11"/>
        <item x="12"/>
        <item x="13"/>
        <item x="14"/>
        <item x="15"/>
        <item x="16"/>
        <item x="0"/>
        <item t="default"/>
      </items>
    </pivotField>
    <pivotField showAll="0"/>
    <pivotField showAll="0"/>
  </pivotFields>
  <rowFields count="2">
    <field x="4"/>
    <field x="13"/>
  </rowFields>
  <rowItems count="4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t="grand">
      <x/>
    </i>
  </rowItems>
  <colFields count="1">
    <field x="8"/>
  </colFields>
  <colItems count="4">
    <i>
      <x v="1"/>
    </i>
    <i>
      <x v="2"/>
    </i>
    <i>
      <x v="3"/>
    </i>
    <i t="grand">
      <x/>
    </i>
  </colItems>
  <dataFields count="1">
    <dataField name="Aantal van Review" fld="8" subtotal="count" showDataAs="percentOfRow" baseField="14" baseItem="7" numFmtId="10"/>
  </dataFields>
  <conditionalFormats count="2">
    <conditionalFormat priority="2">
      <pivotAreas count="1">
        <pivotArea type="data" collapsedLevelsAreSubtotals="1" fieldPosition="0">
          <references count="4">
            <reference field="4294967294" count="1" selected="0">
              <x v="0"/>
            </reference>
            <reference field="4" count="1" selected="0">
              <x v="0"/>
            </reference>
            <reference field="8" count="1" selected="0">
              <x v="1"/>
            </reference>
            <reference field="13" count="30">
              <x v="0"/>
              <x v="1"/>
              <x v="2"/>
              <x v="3"/>
              <x v="4"/>
              <x v="5"/>
              <x v="6"/>
              <x v="7"/>
              <x v="8"/>
              <x v="9"/>
              <x v="10"/>
              <x v="11"/>
              <x v="12"/>
              <x v="13"/>
              <x v="14"/>
              <x v="15"/>
              <x v="16"/>
              <x v="17"/>
              <x v="18"/>
              <x v="19"/>
              <x v="20"/>
              <x v="21"/>
              <x v="22"/>
              <x v="23"/>
              <x v="24"/>
              <x v="25"/>
              <x v="26"/>
              <x v="27"/>
              <x v="28"/>
              <x v="29"/>
            </reference>
          </references>
        </pivotArea>
      </pivotAreas>
    </conditionalFormat>
    <conditionalFormat priority="1">
      <pivotAreas count="1">
        <pivotArea type="data" collapsedLevelsAreSubtotals="1" fieldPosition="0">
          <references count="4">
            <reference field="4294967294" count="1" selected="0">
              <x v="0"/>
            </reference>
            <reference field="4" count="1" selected="0">
              <x v="0"/>
            </reference>
            <reference field="8" count="1" selected="0">
              <x v="2"/>
            </reference>
            <reference field="13" count="36">
              <x v="0"/>
              <x v="1"/>
              <x v="2"/>
              <x v="3"/>
              <x v="4"/>
              <x v="5"/>
              <x v="6"/>
              <x v="7"/>
              <x v="8"/>
              <x v="9"/>
              <x v="10"/>
              <x v="11"/>
              <x v="12"/>
              <x v="13"/>
              <x v="14"/>
              <x v="15"/>
              <x v="16"/>
              <x v="17"/>
              <x v="18"/>
              <x v="19"/>
              <x v="20"/>
              <x v="21"/>
              <x v="22"/>
              <x v="23"/>
              <x v="24"/>
              <x v="25"/>
              <x v="26"/>
              <x v="27"/>
              <x v="28"/>
              <x v="29"/>
              <x v="30"/>
              <x v="31"/>
              <x v="32"/>
              <x v="33"/>
              <x v="34"/>
              <x v="3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9D69E5-61C9-47CF-B859-FF8D09C46580}"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14:E34" firstHeaderRow="1" firstDataRow="2" firstDataCol="1"/>
  <pivotFields count="17">
    <pivotField showAll="0"/>
    <pivotField showAll="0"/>
    <pivotField showAll="0"/>
    <pivotField showAll="0"/>
    <pivotField axis="axisRow" showAll="0">
      <items count="5">
        <item h="1" x="1"/>
        <item h="1" x="2"/>
        <item x="3"/>
        <item h="1" x="0"/>
        <item t="default"/>
      </items>
    </pivotField>
    <pivotField showAll="0"/>
    <pivotField showAll="0"/>
    <pivotField showAll="0"/>
    <pivotField axis="axisCol" dataField="1" showAll="0">
      <items count="5">
        <item x="1"/>
        <item x="2"/>
        <item x="3"/>
        <item x="0"/>
        <item t="default"/>
      </items>
    </pivotField>
    <pivotField showAll="0"/>
    <pivotField showAll="0"/>
    <pivotField showAll="0"/>
    <pivotField showAll="0"/>
    <pivotField showAll="0"/>
    <pivotField axis="axisRow" showAll="0">
      <items count="19">
        <item x="1"/>
        <item x="2"/>
        <item x="3"/>
        <item x="4"/>
        <item x="17"/>
        <item x="5"/>
        <item x="6"/>
        <item x="7"/>
        <item x="8"/>
        <item x="9"/>
        <item x="10"/>
        <item x="11"/>
        <item x="12"/>
        <item x="13"/>
        <item x="14"/>
        <item x="15"/>
        <item x="16"/>
        <item x="0"/>
        <item t="default"/>
      </items>
    </pivotField>
    <pivotField showAll="0"/>
    <pivotField showAll="0"/>
  </pivotFields>
  <rowFields count="2">
    <field x="4"/>
    <field x="14"/>
  </rowFields>
  <rowItems count="19">
    <i>
      <x v="2"/>
    </i>
    <i r="1">
      <x/>
    </i>
    <i r="1">
      <x v="1"/>
    </i>
    <i r="1">
      <x v="2"/>
    </i>
    <i r="1">
      <x v="3"/>
    </i>
    <i r="1">
      <x v="4"/>
    </i>
    <i r="1">
      <x v="5"/>
    </i>
    <i r="1">
      <x v="6"/>
    </i>
    <i r="1">
      <x v="7"/>
    </i>
    <i r="1">
      <x v="8"/>
    </i>
    <i r="1">
      <x v="9"/>
    </i>
    <i r="1">
      <x v="10"/>
    </i>
    <i r="1">
      <x v="11"/>
    </i>
    <i r="1">
      <x v="12"/>
    </i>
    <i r="1">
      <x v="13"/>
    </i>
    <i r="1">
      <x v="14"/>
    </i>
    <i r="1">
      <x v="15"/>
    </i>
    <i r="1">
      <x v="16"/>
    </i>
    <i t="grand">
      <x/>
    </i>
  </rowItems>
  <colFields count="1">
    <field x="8"/>
  </colFields>
  <colItems count="4">
    <i>
      <x v="1"/>
    </i>
    <i>
      <x v="2"/>
    </i>
    <i>
      <x v="3"/>
    </i>
    <i t="grand">
      <x/>
    </i>
  </colItems>
  <dataFields count="1">
    <dataField name="Aantal van Review" fld="8" subtotal="count" showDataAs="percentOfRow" baseField="14" baseItem="7" numFmtId="10"/>
  </dataFields>
  <conditionalFormats count="2">
    <conditionalFormat priority="6">
      <pivotAreas count="1">
        <pivotArea type="data" collapsedLevelsAreSubtotals="1" fieldPosition="0">
          <references count="4">
            <reference field="4294967294" count="1" selected="0">
              <x v="0"/>
            </reference>
            <reference field="4" count="1" selected="0">
              <x v="2"/>
            </reference>
            <reference field="8" count="1" selected="0">
              <x v="1"/>
            </reference>
            <reference field="14" count="17">
              <x v="0"/>
              <x v="1"/>
              <x v="2"/>
              <x v="3"/>
              <x v="4"/>
              <x v="5"/>
              <x v="6"/>
              <x v="7"/>
              <x v="8"/>
              <x v="9"/>
              <x v="10"/>
              <x v="11"/>
              <x v="12"/>
              <x v="13"/>
              <x v="14"/>
              <x v="15"/>
              <x v="16"/>
            </reference>
          </references>
        </pivotArea>
      </pivotAreas>
    </conditionalFormat>
    <conditionalFormat priority="5">
      <pivotAreas count="2">
        <pivotArea type="data" collapsedLevelsAreSubtotals="1" fieldPosition="0">
          <references count="3">
            <reference field="4294967294" count="1" selected="0">
              <x v="0"/>
            </reference>
            <reference field="4" count="1">
              <x v="2"/>
            </reference>
            <reference field="8" count="1" selected="0">
              <x v="2"/>
            </reference>
          </references>
        </pivotArea>
        <pivotArea type="data" collapsedLevelsAreSubtotals="1" fieldPosition="0">
          <references count="4">
            <reference field="4294967294" count="1" selected="0">
              <x v="0"/>
            </reference>
            <reference field="4" count="1" selected="0">
              <x v="2"/>
            </reference>
            <reference field="8" count="1" selected="0">
              <x v="2"/>
            </reference>
            <reference field="14"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5735E-8B9E-4289-B4AD-2937E157AD54}" name="Draaitabel1"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G10" firstHeaderRow="1" firstDataRow="3" firstDataCol="1"/>
  <pivotFields count="17">
    <pivotField showAll="0"/>
    <pivotField showAll="0"/>
    <pivotField showAll="0"/>
    <pivotField showAll="0"/>
    <pivotField axis="axisRow" showAll="0">
      <items count="5">
        <item x="1"/>
        <item x="2"/>
        <item x="3"/>
        <item n="keyword matching" x="0"/>
        <item t="default"/>
      </items>
    </pivotField>
    <pivotField showAll="0"/>
    <pivotField showAll="0"/>
    <pivotField showAll="0"/>
    <pivotField axis="axisCol" dataField="1" showAll="0">
      <items count="5">
        <item h="1" x="1"/>
        <item x="2"/>
        <item x="3"/>
        <item h="1"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2">
    <field x="8"/>
    <field x="-2"/>
  </colFields>
  <colItems count="6">
    <i>
      <x v="1"/>
      <x/>
    </i>
    <i r="1" i="1">
      <x v="1"/>
    </i>
    <i>
      <x v="2"/>
      <x/>
    </i>
    <i r="1" i="1">
      <x v="1"/>
    </i>
    <i t="grand">
      <x/>
    </i>
    <i t="grand" i="1">
      <x/>
    </i>
  </colItems>
  <dataFields count="2">
    <dataField name="Aantal van Review" fld="8" subtotal="count" showDataAs="percentOfRow" baseField="4" baseItem="0" numFmtId="10"/>
    <dataField name="Aantal van Review2" fld="8" subtotal="count" baseField="0" baseItem="0"/>
  </dataFields>
  <conditionalFormats count="3">
    <conditionalFormat priority="9">
      <pivotAreas count="1">
        <pivotArea type="data" collapsedLevelsAreSubtotals="1" fieldPosition="0">
          <references count="3">
            <reference field="4294967294" count="1" selected="0">
              <x v="0"/>
            </reference>
            <reference field="4" count="4">
              <x v="0"/>
              <x v="1"/>
              <x v="2"/>
              <x v="3"/>
            </reference>
            <reference field="8"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4" count="4">
              <x v="0"/>
              <x v="1"/>
              <x v="2"/>
              <x v="3"/>
            </reference>
            <reference field="8" count="1" selected="0">
              <x v="2"/>
            </reference>
          </references>
        </pivotArea>
      </pivotAreas>
    </conditionalFormat>
    <conditionalFormat priority="7">
      <pivotAreas count="1">
        <pivotArea type="data" grandCol="1" collapsedLevelsAreSubtotals="1" fieldPosition="0">
          <references count="2">
            <reference field="4294967294" count="1" selected="0">
              <x v="1"/>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word_comparison" displayName="keyword_comparison" ref="A1:Q1293">
  <autoFilter ref="A1:Q1293" xr:uid="{00000000-0009-0000-0100-000001000000}"/>
  <tableColumns count="17">
    <tableColumn id="1" xr3:uid="{00000000-0010-0000-0000-000001000000}" name="record_identifier"/>
    <tableColumn id="2" xr3:uid="{00000000-0010-0000-0000-000002000000}" name="title"/>
    <tableColumn id="3" xr3:uid="{00000000-0010-0000-0000-000003000000}" name="abstract"/>
    <tableColumn id="4" xr3:uid="{00000000-0010-0000-0000-000004000000}" name="language"/>
    <tableColumn id="5" xr3:uid="{00000000-0010-0000-0000-000005000000}" name="keywords_source"/>
    <tableColumn id="6" xr3:uid="{00000000-0010-0000-0000-000006000000}" name="subject_label"/>
    <tableColumn id="7" xr3:uid="{00000000-0010-0000-0000-000007000000}" name="subject_kind"/>
    <tableColumn id="14" xr3:uid="{18C462CD-09E1-4E57-A576-8072577E2517}" name="keyword_matcher_output"/>
    <tableColumn id="15" xr3:uid="{B7F25228-5BB2-41F6-852C-93339FEFE227}" name="Review"/>
    <tableColumn id="8" xr3:uid="{00000000-0010-0000-0000-000008000000}" name="concept_label"/>
    <tableColumn id="9" xr3:uid="{00000000-0010-0000-0000-000009000000}" name="concept_uri"/>
    <tableColumn id="12" xr3:uid="{B7FCAD71-D713-4081-BDDF-1D6DB6104FDD}" name="Observable property"/>
    <tableColumn id="10" xr3:uid="{00000000-0010-0000-0000-00000A000000}" name="ce_score"/>
    <tableColumn id="11" xr3:uid="{00000000-0010-0000-0000-00000B000000}" name="ce_rank"/>
    <tableColumn id="13" xr3:uid="{F7377829-F7E7-4BA4-AC8C-7FBAAD03E9F6}" name="llm_rank"/>
    <tableColumn id="16" xr3:uid="{0C100D06-D8DE-43BB-92A9-B65A5929E528}" name="record_evaluated" dataDxfId="14">
      <calculatedColumnFormula>COUNTIFS(keyword_comparison[record_identifier],keyword_comparison[[#This Row],[record_identifier]],keyword_comparison[Review],"&lt;&gt;")</calculatedColumnFormula>
    </tableColumn>
    <tableColumn id="17" xr3:uid="{F5FDB832-9184-4AC1-8328-A99893ED3EF8}" name="record_has_match" dataDxfId="13">
      <calculatedColumnFormula array="1">SUMPRODUCT((keyword_comparison[record_identifier]=keyword_comparison[[#This Row],[record_identifier]])*(LEN(keyword_comparison[keyword_matcher_output])&gt;0))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9B0951-35AA-45A4-A65A-F7FACA1262A9}" name="keyllm_comparison" displayName="keyllm_comparison" ref="A1:M405" totalsRowShown="0">
  <autoFilter ref="A1:M405" xr:uid="{5C9B0951-35AA-45A4-A65A-F7FACA1262A9}"/>
  <tableColumns count="13">
    <tableColumn id="1" xr3:uid="{7DF22812-153F-4D6E-99B5-65A4D192113D}" name="record_identifier" dataDxfId="12"/>
    <tableColumn id="2" xr3:uid="{6092274F-DCCE-496D-BD03-9CCB4963DBAD}" name="title" dataDxfId="11"/>
    <tableColumn id="3" xr3:uid="{91A2E0FA-9452-4F9E-838B-EE5A6DF0B21A}" name="abstract" dataDxfId="10"/>
    <tableColumn id="4" xr3:uid="{D7E0CE61-B7EF-49B9-B7BB-6C22867B23AF}" name="language" dataDxfId="9"/>
    <tableColumn id="5" xr3:uid="{76BB38CC-9D75-4386-A930-5C7E812D03A1}" name="keywords_source" dataDxfId="8"/>
    <tableColumn id="6" xr3:uid="{FD37ACF4-17B9-4295-A165-2D9039F85C28}" name="subject_label" dataDxfId="7"/>
    <tableColumn id="7" xr3:uid="{B7075F1B-8D4C-4889-80EC-2BCBFAFE14DD}" name="subject_kind" dataDxfId="6"/>
    <tableColumn id="8" xr3:uid="{D1355BE3-04A1-4551-87E3-0D35810B3A7A}" name="concept_label" dataDxfId="5"/>
    <tableColumn id="9" xr3:uid="{E6306029-FA88-4DD6-B8FF-FD3CF7E90CE0}" name="concept_uri" dataDxfId="4"/>
    <tableColumn id="10" xr3:uid="{82CAEC29-D4D4-4D95-8AAA-1B04A2606092}" name="Column1"/>
    <tableColumn id="11" xr3:uid="{62D25F8A-C32A-4FBF-ACA8-0A99BDAF3F78}" name="Column2"/>
    <tableColumn id="14" xr3:uid="{4BB635D5-2ADD-4DCF-8DB9-E0E4DB771FCC}" name="Column3"/>
    <tableColumn id="13" xr3:uid="{26D19620-854B-4F8D-B873-38B4E24ACD36}" name="llm_rank"/>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3id.org/eusoilvoc" TargetMode="External"/><Relationship Id="rId7" Type="http://schemas.openxmlformats.org/officeDocument/2006/relationships/printerSettings" Target="../printerSettings/printerSettings1.bin"/><Relationship Id="rId2" Type="http://schemas.openxmlformats.org/officeDocument/2006/relationships/hyperlink" Target="https://w3id.org/eusoilvoc" TargetMode="External"/><Relationship Id="rId1" Type="http://schemas.openxmlformats.org/officeDocument/2006/relationships/hyperlink" Target="https://w3id.org/eusoilvoc" TargetMode="External"/><Relationship Id="rId6" Type="http://schemas.openxmlformats.org/officeDocument/2006/relationships/hyperlink" Target="https://w3id.org/eusoilvoc" TargetMode="External"/><Relationship Id="rId5" Type="http://schemas.openxmlformats.org/officeDocument/2006/relationships/hyperlink" Target="https://doi.org/10.1111/1365-2435.12329" TargetMode="External"/><Relationship Id="rId4" Type="http://schemas.openxmlformats.org/officeDocument/2006/relationships/hyperlink" Target="https://doi.org/10.34725/DVN/66BFOB"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93"/>
  <sheetViews>
    <sheetView tabSelected="1" topLeftCell="C1" workbookViewId="0">
      <selection activeCell="J1" sqref="J1"/>
    </sheetView>
  </sheetViews>
  <sheetFormatPr defaultRowHeight="15" customHeight="1" x14ac:dyDescent="0.25"/>
  <cols>
    <col min="1" max="1" width="34" customWidth="1"/>
    <col min="2" max="2" width="44" customWidth="1"/>
    <col min="3" max="3" width="33.85546875" customWidth="1"/>
    <col min="4" max="4" width="9" customWidth="1"/>
    <col min="5" max="5" width="18" customWidth="1"/>
    <col min="6" max="6" width="34" customWidth="1"/>
    <col min="7" max="7" width="14" customWidth="1"/>
    <col min="8" max="8" width="44.42578125" customWidth="1"/>
    <col min="9" max="9" width="10.42578125" customWidth="1"/>
    <col min="10" max="10" width="46" customWidth="1"/>
    <col min="11" max="11" width="29.140625" customWidth="1"/>
    <col min="12" max="12" width="10" customWidth="1"/>
    <col min="13" max="13" width="9" customWidth="1"/>
    <col min="14" max="14" width="10.7109375" customWidth="1"/>
    <col min="19" max="19" width="10.5703125" bestFit="1" customWidth="1"/>
    <col min="21" max="21" width="9.42578125" bestFit="1" customWidth="1"/>
  </cols>
  <sheetData>
    <row r="1" spans="1:18" x14ac:dyDescent="0.25">
      <c r="A1" s="1" t="s">
        <v>0</v>
      </c>
      <c r="B1" s="1" t="s">
        <v>1</v>
      </c>
      <c r="C1" s="1" t="s">
        <v>2</v>
      </c>
      <c r="D1" s="1" t="s">
        <v>3</v>
      </c>
      <c r="E1" s="1" t="s">
        <v>4</v>
      </c>
      <c r="F1" s="11" t="s">
        <v>5</v>
      </c>
      <c r="G1" s="1" t="s">
        <v>6</v>
      </c>
      <c r="H1" s="11" t="s">
        <v>7</v>
      </c>
      <c r="I1" s="1" t="s">
        <v>8</v>
      </c>
      <c r="J1" s="11" t="s">
        <v>9</v>
      </c>
      <c r="K1" s="1" t="s">
        <v>10</v>
      </c>
      <c r="L1" s="1" t="s">
        <v>11</v>
      </c>
      <c r="M1" s="1" t="s">
        <v>12</v>
      </c>
      <c r="N1" s="1" t="s">
        <v>13</v>
      </c>
      <c r="O1" s="1" t="s">
        <v>14</v>
      </c>
      <c r="P1" t="s">
        <v>15</v>
      </c>
      <c r="Q1" t="s">
        <v>16</v>
      </c>
    </row>
    <row r="2" spans="1:18" x14ac:dyDescent="0.25">
      <c r="A2" t="s">
        <v>17</v>
      </c>
      <c r="B2" t="s">
        <v>18</v>
      </c>
      <c r="C2" t="s">
        <v>19</v>
      </c>
      <c r="D2" t="s">
        <v>20</v>
      </c>
      <c r="E2" t="s">
        <v>21</v>
      </c>
      <c r="F2" t="s">
        <v>22</v>
      </c>
      <c r="G2" t="s">
        <v>23</v>
      </c>
      <c r="H2" t="s">
        <v>24</v>
      </c>
      <c r="P2">
        <f>COUNTIFS(keyword_comparison[record_identifier],keyword_comparison[[#This Row],[record_identifier]],keyword_comparison[Review],"&lt;&gt;")</f>
        <v>0</v>
      </c>
      <c r="Q2" cm="1">
        <f t="array" ref="Q2">SUMPRODUCT((keyword_comparison[record_identifier]=keyword_comparison[[#This Row],[record_identifier]])*(LEN(keyword_comparison[keyword_matcher_output])&gt;0))</f>
        <v>1</v>
      </c>
      <c r="R2" s="6"/>
    </row>
    <row r="3" spans="1:18" x14ac:dyDescent="0.25">
      <c r="A3" t="s">
        <v>17</v>
      </c>
      <c r="B3" t="s">
        <v>18</v>
      </c>
      <c r="C3" t="s">
        <v>19</v>
      </c>
      <c r="D3" t="s">
        <v>20</v>
      </c>
      <c r="E3" t="s">
        <v>21</v>
      </c>
      <c r="F3" t="s">
        <v>25</v>
      </c>
      <c r="G3" t="s">
        <v>23</v>
      </c>
      <c r="P3">
        <f>COUNTIFS(keyword_comparison[record_identifier],keyword_comparison[[#This Row],[record_identifier]],keyword_comparison[Review],"&lt;&gt;")</f>
        <v>0</v>
      </c>
      <c r="Q3" cm="1">
        <f t="array" ref="Q3">SUMPRODUCT((keyword_comparison[record_identifier]=keyword_comparison[[#This Row],[record_identifier]])*(LEN(keyword_comparison[keyword_matcher_output])&gt;0))</f>
        <v>1</v>
      </c>
    </row>
    <row r="4" spans="1:18" x14ac:dyDescent="0.25">
      <c r="A4" t="s">
        <v>17</v>
      </c>
      <c r="B4" t="s">
        <v>18</v>
      </c>
      <c r="C4" t="s">
        <v>19</v>
      </c>
      <c r="D4" t="s">
        <v>20</v>
      </c>
      <c r="E4" t="s">
        <v>21</v>
      </c>
      <c r="F4" t="s">
        <v>26</v>
      </c>
      <c r="G4" t="s">
        <v>23</v>
      </c>
      <c r="P4">
        <f>COUNTIFS(keyword_comparison[record_identifier],keyword_comparison[[#This Row],[record_identifier]],keyword_comparison[Review],"&lt;&gt;")</f>
        <v>0</v>
      </c>
      <c r="Q4" cm="1">
        <f t="array" ref="Q4">SUMPRODUCT((keyword_comparison[record_identifier]=keyword_comparison[[#This Row],[record_identifier]])*(LEN(keyword_comparison[keyword_matcher_output])&gt;0))</f>
        <v>1</v>
      </c>
    </row>
    <row r="5" spans="1:18" x14ac:dyDescent="0.25">
      <c r="A5" t="s">
        <v>17</v>
      </c>
      <c r="B5" t="s">
        <v>18</v>
      </c>
      <c r="C5" t="s">
        <v>19</v>
      </c>
      <c r="D5" t="s">
        <v>20</v>
      </c>
      <c r="E5" t="s">
        <v>21</v>
      </c>
      <c r="F5" t="s">
        <v>27</v>
      </c>
      <c r="G5" t="s">
        <v>23</v>
      </c>
      <c r="P5">
        <f>COUNTIFS(keyword_comparison[record_identifier],keyword_comparison[[#This Row],[record_identifier]],keyword_comparison[Review],"&lt;&gt;")</f>
        <v>0</v>
      </c>
      <c r="Q5" cm="1">
        <f t="array" ref="Q5">SUMPRODUCT((keyword_comparison[record_identifier]=keyword_comparison[[#This Row],[record_identifier]])*(LEN(keyword_comparison[keyword_matcher_output])&gt;0))</f>
        <v>1</v>
      </c>
    </row>
    <row r="6" spans="1:18" x14ac:dyDescent="0.25">
      <c r="A6" t="s">
        <v>17</v>
      </c>
      <c r="B6" t="s">
        <v>18</v>
      </c>
      <c r="C6" t="s">
        <v>19</v>
      </c>
      <c r="D6" t="s">
        <v>20</v>
      </c>
      <c r="E6" t="s">
        <v>21</v>
      </c>
      <c r="F6" t="s">
        <v>28</v>
      </c>
      <c r="G6" t="s">
        <v>23</v>
      </c>
      <c r="P6">
        <f>COUNTIFS(keyword_comparison[record_identifier],keyword_comparison[[#This Row],[record_identifier]],keyword_comparison[Review],"&lt;&gt;")</f>
        <v>0</v>
      </c>
      <c r="Q6" cm="1">
        <f t="array" ref="Q6">SUMPRODUCT((keyword_comparison[record_identifier]=keyword_comparison[[#This Row],[record_identifier]])*(LEN(keyword_comparison[keyword_matcher_output])&gt;0))</f>
        <v>1</v>
      </c>
    </row>
    <row r="7" spans="1:18" x14ac:dyDescent="0.25">
      <c r="A7" t="s">
        <v>17</v>
      </c>
      <c r="B7" t="s">
        <v>18</v>
      </c>
      <c r="C7" t="s">
        <v>19</v>
      </c>
      <c r="D7" t="s">
        <v>20</v>
      </c>
      <c r="E7" t="s">
        <v>21</v>
      </c>
      <c r="F7" t="s">
        <v>29</v>
      </c>
      <c r="G7" t="s">
        <v>23</v>
      </c>
      <c r="P7">
        <f>COUNTIFS(keyword_comparison[record_identifier],keyword_comparison[[#This Row],[record_identifier]],keyword_comparison[Review],"&lt;&gt;")</f>
        <v>0</v>
      </c>
      <c r="Q7" cm="1">
        <f t="array" ref="Q7">SUMPRODUCT((keyword_comparison[record_identifier]=keyword_comparison[[#This Row],[record_identifier]])*(LEN(keyword_comparison[keyword_matcher_output])&gt;0))</f>
        <v>1</v>
      </c>
    </row>
    <row r="8" spans="1:18" x14ac:dyDescent="0.25">
      <c r="A8" t="s">
        <v>17</v>
      </c>
      <c r="B8" t="s">
        <v>18</v>
      </c>
      <c r="C8" t="s">
        <v>19</v>
      </c>
      <c r="D8" t="s">
        <v>20</v>
      </c>
      <c r="E8" t="s">
        <v>21</v>
      </c>
      <c r="F8" t="s">
        <v>30</v>
      </c>
      <c r="G8" t="s">
        <v>31</v>
      </c>
      <c r="P8">
        <f>COUNTIFS(keyword_comparison[record_identifier],keyword_comparison[[#This Row],[record_identifier]],keyword_comparison[Review],"&lt;&gt;")</f>
        <v>0</v>
      </c>
      <c r="Q8" cm="1">
        <f t="array" ref="Q8">SUMPRODUCT((keyword_comparison[record_identifier]=keyword_comparison[[#This Row],[record_identifier]])*(LEN(keyword_comparison[keyword_matcher_output])&gt;0))</f>
        <v>1</v>
      </c>
    </row>
    <row r="9" spans="1:18" x14ac:dyDescent="0.25">
      <c r="A9" t="s">
        <v>17</v>
      </c>
      <c r="B9" t="s">
        <v>18</v>
      </c>
      <c r="C9" t="s">
        <v>19</v>
      </c>
      <c r="D9" t="s">
        <v>20</v>
      </c>
      <c r="E9" t="s">
        <v>21</v>
      </c>
      <c r="F9" t="s">
        <v>32</v>
      </c>
      <c r="G9" t="s">
        <v>31</v>
      </c>
      <c r="P9">
        <f>COUNTIFS(keyword_comparison[record_identifier],keyword_comparison[[#This Row],[record_identifier]],keyword_comparison[Review],"&lt;&gt;")</f>
        <v>0</v>
      </c>
      <c r="Q9" cm="1">
        <f t="array" ref="Q9">SUMPRODUCT((keyword_comparison[record_identifier]=keyword_comparison[[#This Row],[record_identifier]])*(LEN(keyword_comparison[keyword_matcher_output])&gt;0))</f>
        <v>1</v>
      </c>
    </row>
    <row r="10" spans="1:18" x14ac:dyDescent="0.25">
      <c r="A10" t="s">
        <v>17</v>
      </c>
      <c r="B10" t="s">
        <v>18</v>
      </c>
      <c r="C10" t="s">
        <v>19</v>
      </c>
      <c r="D10" t="s">
        <v>20</v>
      </c>
      <c r="E10" t="s">
        <v>33</v>
      </c>
      <c r="J10" t="s">
        <v>34</v>
      </c>
      <c r="K10" t="s">
        <v>35</v>
      </c>
      <c r="M10">
        <v>0.1132</v>
      </c>
      <c r="N10">
        <v>1</v>
      </c>
      <c r="P10">
        <f>COUNTIFS(keyword_comparison[record_identifier],keyword_comparison[[#This Row],[record_identifier]],keyword_comparison[Review],"&lt;&gt;")</f>
        <v>0</v>
      </c>
      <c r="Q10" cm="1">
        <f t="array" ref="Q10">SUMPRODUCT((keyword_comparison[record_identifier]=keyword_comparison[[#This Row],[record_identifier]])*(LEN(keyword_comparison[keyword_matcher_output])&gt;0))</f>
        <v>1</v>
      </c>
    </row>
    <row r="11" spans="1:18" x14ac:dyDescent="0.25">
      <c r="A11" t="s">
        <v>17</v>
      </c>
      <c r="B11" t="s">
        <v>18</v>
      </c>
      <c r="C11" t="s">
        <v>19</v>
      </c>
      <c r="D11" t="s">
        <v>20</v>
      </c>
      <c r="E11" t="s">
        <v>33</v>
      </c>
      <c r="J11" t="s">
        <v>36</v>
      </c>
      <c r="K11" t="s">
        <v>37</v>
      </c>
      <c r="M11">
        <v>8.6800000000000002E-2</v>
      </c>
      <c r="N11">
        <v>2</v>
      </c>
      <c r="P11">
        <f>COUNTIFS(keyword_comparison[record_identifier],keyword_comparison[[#This Row],[record_identifier]],keyword_comparison[Review],"&lt;&gt;")</f>
        <v>0</v>
      </c>
      <c r="Q11" cm="1">
        <f t="array" ref="Q11">SUMPRODUCT((keyword_comparison[record_identifier]=keyword_comparison[[#This Row],[record_identifier]])*(LEN(keyword_comparison[keyword_matcher_output])&gt;0))</f>
        <v>1</v>
      </c>
    </row>
    <row r="12" spans="1:18" x14ac:dyDescent="0.25">
      <c r="A12" t="s">
        <v>17</v>
      </c>
      <c r="B12" t="s">
        <v>18</v>
      </c>
      <c r="C12" t="s">
        <v>19</v>
      </c>
      <c r="D12" t="s">
        <v>20</v>
      </c>
      <c r="E12" t="s">
        <v>33</v>
      </c>
      <c r="J12" t="s">
        <v>38</v>
      </c>
      <c r="K12" t="s">
        <v>39</v>
      </c>
      <c r="M12">
        <v>6.6100000000000006E-2</v>
      </c>
      <c r="N12">
        <v>3</v>
      </c>
      <c r="P12">
        <f>COUNTIFS(keyword_comparison[record_identifier],keyword_comparison[[#This Row],[record_identifier]],keyword_comparison[Review],"&lt;&gt;")</f>
        <v>0</v>
      </c>
      <c r="Q12" cm="1">
        <f t="array" ref="Q12">SUMPRODUCT((keyword_comparison[record_identifier]=keyword_comparison[[#This Row],[record_identifier]])*(LEN(keyword_comparison[keyword_matcher_output])&gt;0))</f>
        <v>1</v>
      </c>
    </row>
    <row r="13" spans="1:18" x14ac:dyDescent="0.25">
      <c r="A13" t="s">
        <v>17</v>
      </c>
      <c r="B13" t="s">
        <v>18</v>
      </c>
      <c r="C13" t="s">
        <v>19</v>
      </c>
      <c r="D13" t="s">
        <v>20</v>
      </c>
      <c r="E13" t="s">
        <v>33</v>
      </c>
      <c r="J13" t="s">
        <v>40</v>
      </c>
      <c r="K13" t="s">
        <v>41</v>
      </c>
      <c r="M13">
        <v>6.3E-2</v>
      </c>
      <c r="N13">
        <v>4</v>
      </c>
      <c r="P13">
        <f>COUNTIFS(keyword_comparison[record_identifier],keyword_comparison[[#This Row],[record_identifier]],keyword_comparison[Review],"&lt;&gt;")</f>
        <v>0</v>
      </c>
      <c r="Q13" cm="1">
        <f t="array" ref="Q13">SUMPRODUCT((keyword_comparison[record_identifier]=keyword_comparison[[#This Row],[record_identifier]])*(LEN(keyword_comparison[keyword_matcher_output])&gt;0))</f>
        <v>1</v>
      </c>
    </row>
    <row r="14" spans="1:18" x14ac:dyDescent="0.25">
      <c r="A14" t="s">
        <v>17</v>
      </c>
      <c r="B14" t="s">
        <v>18</v>
      </c>
      <c r="C14" t="s">
        <v>19</v>
      </c>
      <c r="D14" t="s">
        <v>20</v>
      </c>
      <c r="E14" t="s">
        <v>33</v>
      </c>
      <c r="J14" t="s">
        <v>42</v>
      </c>
      <c r="K14" t="s">
        <v>43</v>
      </c>
      <c r="M14">
        <v>5.8299999999999998E-2</v>
      </c>
      <c r="N14">
        <v>5</v>
      </c>
      <c r="P14">
        <f>COUNTIFS(keyword_comparison[record_identifier],keyword_comparison[[#This Row],[record_identifier]],keyword_comparison[Review],"&lt;&gt;")</f>
        <v>0</v>
      </c>
      <c r="Q14" cm="1">
        <f t="array" ref="Q14">SUMPRODUCT((keyword_comparison[record_identifier]=keyword_comparison[[#This Row],[record_identifier]])*(LEN(keyword_comparison[keyword_matcher_output])&gt;0))</f>
        <v>1</v>
      </c>
    </row>
    <row r="15" spans="1:18" x14ac:dyDescent="0.25">
      <c r="A15" t="s">
        <v>17</v>
      </c>
      <c r="B15" t="s">
        <v>18</v>
      </c>
      <c r="C15" t="s">
        <v>19</v>
      </c>
      <c r="D15" t="s">
        <v>20</v>
      </c>
      <c r="E15" t="s">
        <v>33</v>
      </c>
      <c r="J15" t="s">
        <v>44</v>
      </c>
      <c r="K15" t="s">
        <v>45</v>
      </c>
      <c r="M15">
        <v>5.6000000000000001E-2</v>
      </c>
      <c r="N15">
        <v>6</v>
      </c>
      <c r="P15">
        <f>COUNTIFS(keyword_comparison[record_identifier],keyword_comparison[[#This Row],[record_identifier]],keyword_comparison[Review],"&lt;&gt;")</f>
        <v>0</v>
      </c>
      <c r="Q15" cm="1">
        <f t="array" ref="Q15">SUMPRODUCT((keyword_comparison[record_identifier]=keyword_comparison[[#This Row],[record_identifier]])*(LEN(keyword_comparison[keyword_matcher_output])&gt;0))</f>
        <v>1</v>
      </c>
    </row>
    <row r="16" spans="1:18" x14ac:dyDescent="0.25">
      <c r="A16" t="s">
        <v>17</v>
      </c>
      <c r="B16" t="s">
        <v>18</v>
      </c>
      <c r="C16" t="s">
        <v>19</v>
      </c>
      <c r="D16" t="s">
        <v>20</v>
      </c>
      <c r="E16" t="s">
        <v>33</v>
      </c>
      <c r="J16" t="s">
        <v>46</v>
      </c>
      <c r="K16" t="s">
        <v>47</v>
      </c>
      <c r="M16">
        <v>5.4699999999999999E-2</v>
      </c>
      <c r="N16">
        <v>7</v>
      </c>
      <c r="P16">
        <f>COUNTIFS(keyword_comparison[record_identifier],keyword_comparison[[#This Row],[record_identifier]],keyword_comparison[Review],"&lt;&gt;")</f>
        <v>0</v>
      </c>
      <c r="Q16" cm="1">
        <f t="array" ref="Q16">SUMPRODUCT((keyword_comparison[record_identifier]=keyword_comparison[[#This Row],[record_identifier]])*(LEN(keyword_comparison[keyword_matcher_output])&gt;0))</f>
        <v>1</v>
      </c>
    </row>
    <row r="17" spans="1:17" x14ac:dyDescent="0.25">
      <c r="A17" t="s">
        <v>17</v>
      </c>
      <c r="B17" t="s">
        <v>18</v>
      </c>
      <c r="C17" t="s">
        <v>19</v>
      </c>
      <c r="D17" t="s">
        <v>20</v>
      </c>
      <c r="E17" t="s">
        <v>48</v>
      </c>
      <c r="J17" t="s">
        <v>49</v>
      </c>
      <c r="K17" t="s">
        <v>50</v>
      </c>
      <c r="P17">
        <f>COUNTIFS(keyword_comparison[record_identifier],keyword_comparison[[#This Row],[record_identifier]],keyword_comparison[Review],"&lt;&gt;")</f>
        <v>0</v>
      </c>
      <c r="Q17" cm="1">
        <f t="array" ref="Q17">SUMPRODUCT((keyword_comparison[record_identifier]=keyword_comparison[[#This Row],[record_identifier]])*(LEN(keyword_comparison[keyword_matcher_output])&gt;0))</f>
        <v>1</v>
      </c>
    </row>
    <row r="18" spans="1:17" x14ac:dyDescent="0.25">
      <c r="A18" t="s">
        <v>17</v>
      </c>
      <c r="B18" t="s">
        <v>18</v>
      </c>
      <c r="C18" t="s">
        <v>19</v>
      </c>
      <c r="D18" t="s">
        <v>20</v>
      </c>
      <c r="E18" t="s">
        <v>48</v>
      </c>
      <c r="J18" t="s">
        <v>34</v>
      </c>
      <c r="K18" t="s">
        <v>35</v>
      </c>
      <c r="P18">
        <f>COUNTIFS(keyword_comparison[record_identifier],keyword_comparison[[#This Row],[record_identifier]],keyword_comparison[Review],"&lt;&gt;")</f>
        <v>0</v>
      </c>
      <c r="Q18" cm="1">
        <f t="array" ref="Q18">SUMPRODUCT((keyword_comparison[record_identifier]=keyword_comparison[[#This Row],[record_identifier]])*(LEN(keyword_comparison[keyword_matcher_output])&gt;0))</f>
        <v>1</v>
      </c>
    </row>
    <row r="19" spans="1:17" x14ac:dyDescent="0.25">
      <c r="A19" t="s">
        <v>17</v>
      </c>
      <c r="B19" t="s">
        <v>18</v>
      </c>
      <c r="C19" t="s">
        <v>19</v>
      </c>
      <c r="D19" t="s">
        <v>20</v>
      </c>
      <c r="E19" t="s">
        <v>48</v>
      </c>
      <c r="J19" t="s">
        <v>51</v>
      </c>
      <c r="K19" t="s">
        <v>52</v>
      </c>
      <c r="P19">
        <f>COUNTIFS(keyword_comparison[record_identifier],keyword_comparison[[#This Row],[record_identifier]],keyword_comparison[Review],"&lt;&gt;")</f>
        <v>0</v>
      </c>
      <c r="Q19" cm="1">
        <f t="array" ref="Q19">SUMPRODUCT((keyword_comparison[record_identifier]=keyword_comparison[[#This Row],[record_identifier]])*(LEN(keyword_comparison[keyword_matcher_output])&gt;0))</f>
        <v>1</v>
      </c>
    </row>
    <row r="20" spans="1:17" x14ac:dyDescent="0.25">
      <c r="A20" t="s">
        <v>17</v>
      </c>
      <c r="B20" t="s">
        <v>18</v>
      </c>
      <c r="C20" t="s">
        <v>19</v>
      </c>
      <c r="D20" t="s">
        <v>20</v>
      </c>
      <c r="E20" t="s">
        <v>53</v>
      </c>
      <c r="F20" t="s">
        <v>54</v>
      </c>
      <c r="G20" t="s">
        <v>54</v>
      </c>
      <c r="J20" t="s">
        <v>34</v>
      </c>
      <c r="K20" t="s">
        <v>35</v>
      </c>
      <c r="O20">
        <v>1</v>
      </c>
      <c r="P20">
        <f>COUNTIFS(keyword_comparison[record_identifier],keyword_comparison[[#This Row],[record_identifier]],keyword_comparison[Review],"&lt;&gt;")</f>
        <v>0</v>
      </c>
      <c r="Q20" cm="1">
        <f t="array" ref="Q20">SUMPRODUCT((keyword_comparison[record_identifier]=keyword_comparison[[#This Row],[record_identifier]])*(LEN(keyword_comparison[keyword_matcher_output])&gt;0))</f>
        <v>1</v>
      </c>
    </row>
    <row r="21" spans="1:17" x14ac:dyDescent="0.25">
      <c r="A21" t="s">
        <v>17</v>
      </c>
      <c r="B21" t="s">
        <v>18</v>
      </c>
      <c r="C21" t="s">
        <v>19</v>
      </c>
      <c r="D21" t="s">
        <v>20</v>
      </c>
      <c r="E21" t="s">
        <v>53</v>
      </c>
      <c r="F21" t="s">
        <v>54</v>
      </c>
      <c r="G21" t="s">
        <v>54</v>
      </c>
      <c r="J21" t="s">
        <v>55</v>
      </c>
      <c r="K21" t="s">
        <v>56</v>
      </c>
      <c r="O21">
        <v>2</v>
      </c>
      <c r="P21">
        <f>COUNTIFS(keyword_comparison[record_identifier],keyword_comparison[[#This Row],[record_identifier]],keyword_comparison[Review],"&lt;&gt;")</f>
        <v>0</v>
      </c>
      <c r="Q21" cm="1">
        <f t="array" ref="Q21">SUMPRODUCT((keyword_comparison[record_identifier]=keyword_comparison[[#This Row],[record_identifier]])*(LEN(keyword_comparison[keyword_matcher_output])&gt;0))</f>
        <v>1</v>
      </c>
    </row>
    <row r="22" spans="1:17" x14ac:dyDescent="0.25">
      <c r="A22" t="s">
        <v>17</v>
      </c>
      <c r="B22" t="s">
        <v>18</v>
      </c>
      <c r="C22" t="s">
        <v>19</v>
      </c>
      <c r="D22" t="s">
        <v>20</v>
      </c>
      <c r="E22" t="s">
        <v>53</v>
      </c>
      <c r="F22" t="s">
        <v>54</v>
      </c>
      <c r="G22" t="s">
        <v>54</v>
      </c>
      <c r="J22" t="s">
        <v>57</v>
      </c>
      <c r="K22" t="s">
        <v>58</v>
      </c>
      <c r="O22">
        <v>3</v>
      </c>
      <c r="P22">
        <f>COUNTIFS(keyword_comparison[record_identifier],keyword_comparison[[#This Row],[record_identifier]],keyword_comparison[Review],"&lt;&gt;")</f>
        <v>0</v>
      </c>
      <c r="Q22" cm="1">
        <f t="array" ref="Q22">SUMPRODUCT((keyword_comparison[record_identifier]=keyword_comparison[[#This Row],[record_identifier]])*(LEN(keyword_comparison[keyword_matcher_output])&gt;0))</f>
        <v>1</v>
      </c>
    </row>
    <row r="23" spans="1:17" x14ac:dyDescent="0.25">
      <c r="A23" t="s">
        <v>17</v>
      </c>
      <c r="B23" t="s">
        <v>18</v>
      </c>
      <c r="C23" t="s">
        <v>19</v>
      </c>
      <c r="D23" t="s">
        <v>20</v>
      </c>
      <c r="E23" t="s">
        <v>53</v>
      </c>
      <c r="F23" t="s">
        <v>54</v>
      </c>
      <c r="G23" t="s">
        <v>54</v>
      </c>
      <c r="J23" t="s">
        <v>59</v>
      </c>
      <c r="K23" t="s">
        <v>60</v>
      </c>
      <c r="O23">
        <v>4</v>
      </c>
      <c r="P23">
        <f>COUNTIFS(keyword_comparison[record_identifier],keyword_comparison[[#This Row],[record_identifier]],keyword_comparison[Review],"&lt;&gt;")</f>
        <v>0</v>
      </c>
      <c r="Q23" cm="1">
        <f t="array" ref="Q23">SUMPRODUCT((keyword_comparison[record_identifier]=keyword_comparison[[#This Row],[record_identifier]])*(LEN(keyword_comparison[keyword_matcher_output])&gt;0))</f>
        <v>1</v>
      </c>
    </row>
    <row r="24" spans="1:17" x14ac:dyDescent="0.25">
      <c r="A24" t="s">
        <v>17</v>
      </c>
      <c r="B24" t="s">
        <v>18</v>
      </c>
      <c r="C24" t="s">
        <v>19</v>
      </c>
      <c r="D24" t="s">
        <v>20</v>
      </c>
      <c r="E24" t="s">
        <v>53</v>
      </c>
      <c r="F24" t="s">
        <v>54</v>
      </c>
      <c r="G24" t="s">
        <v>54</v>
      </c>
      <c r="J24" t="s">
        <v>61</v>
      </c>
      <c r="K24" t="s">
        <v>62</v>
      </c>
      <c r="O24">
        <v>6</v>
      </c>
      <c r="P24">
        <f>COUNTIFS(keyword_comparison[record_identifier],keyword_comparison[[#This Row],[record_identifier]],keyword_comparison[Review],"&lt;&gt;")</f>
        <v>0</v>
      </c>
      <c r="Q24" cm="1">
        <f t="array" ref="Q24">SUMPRODUCT((keyword_comparison[record_identifier]=keyword_comparison[[#This Row],[record_identifier]])*(LEN(keyword_comparison[keyword_matcher_output])&gt;0))</f>
        <v>1</v>
      </c>
    </row>
    <row r="25" spans="1:17" x14ac:dyDescent="0.25">
      <c r="A25" t="s">
        <v>17</v>
      </c>
      <c r="B25" t="s">
        <v>18</v>
      </c>
      <c r="C25" t="s">
        <v>19</v>
      </c>
      <c r="D25" t="s">
        <v>20</v>
      </c>
      <c r="E25" t="s">
        <v>53</v>
      </c>
      <c r="F25" t="s">
        <v>54</v>
      </c>
      <c r="G25" t="s">
        <v>54</v>
      </c>
      <c r="J25" t="s">
        <v>42</v>
      </c>
      <c r="K25" t="s">
        <v>43</v>
      </c>
      <c r="O25">
        <v>7</v>
      </c>
      <c r="P25">
        <f>COUNTIFS(keyword_comparison[record_identifier],keyword_comparison[[#This Row],[record_identifier]],keyword_comparison[Review],"&lt;&gt;")</f>
        <v>0</v>
      </c>
      <c r="Q25" cm="1">
        <f t="array" ref="Q25">SUMPRODUCT((keyword_comparison[record_identifier]=keyword_comparison[[#This Row],[record_identifier]])*(LEN(keyword_comparison[keyword_matcher_output])&gt;0))</f>
        <v>1</v>
      </c>
    </row>
    <row r="26" spans="1:17" x14ac:dyDescent="0.25">
      <c r="A26" t="s">
        <v>17</v>
      </c>
      <c r="B26" t="s">
        <v>18</v>
      </c>
      <c r="C26" t="s">
        <v>19</v>
      </c>
      <c r="D26" t="s">
        <v>20</v>
      </c>
      <c r="E26" t="s">
        <v>53</v>
      </c>
      <c r="F26" t="s">
        <v>54</v>
      </c>
      <c r="G26" t="s">
        <v>54</v>
      </c>
      <c r="J26" t="s">
        <v>63</v>
      </c>
      <c r="K26" t="s">
        <v>24</v>
      </c>
      <c r="O26">
        <v>8</v>
      </c>
      <c r="P26">
        <f>COUNTIFS(keyword_comparison[record_identifier],keyword_comparison[[#This Row],[record_identifier]],keyword_comparison[Review],"&lt;&gt;")</f>
        <v>0</v>
      </c>
      <c r="Q26" cm="1">
        <f t="array" ref="Q26">SUMPRODUCT((keyword_comparison[record_identifier]=keyword_comparison[[#This Row],[record_identifier]])*(LEN(keyword_comparison[keyword_matcher_output])&gt;0))</f>
        <v>1</v>
      </c>
    </row>
    <row r="27" spans="1:17" x14ac:dyDescent="0.25">
      <c r="A27" t="s">
        <v>64</v>
      </c>
      <c r="B27" t="s">
        <v>65</v>
      </c>
      <c r="C27" t="s">
        <v>66</v>
      </c>
      <c r="D27" t="s">
        <v>20</v>
      </c>
      <c r="E27" t="s">
        <v>21</v>
      </c>
      <c r="F27" t="s">
        <v>30</v>
      </c>
      <c r="G27" t="s">
        <v>31</v>
      </c>
      <c r="P27">
        <f>COUNTIFS(keyword_comparison[record_identifier],keyword_comparison[[#This Row],[record_identifier]],keyword_comparison[Review],"&lt;&gt;")</f>
        <v>19</v>
      </c>
      <c r="Q27" cm="1">
        <f t="array" ref="Q27">SUMPRODUCT((keyword_comparison[record_identifier]=keyword_comparison[[#This Row],[record_identifier]])*(LEN(keyword_comparison[keyword_matcher_output])&gt;0))</f>
        <v>2</v>
      </c>
    </row>
    <row r="28" spans="1:17" x14ac:dyDescent="0.25">
      <c r="A28" t="s">
        <v>64</v>
      </c>
      <c r="B28" t="s">
        <v>65</v>
      </c>
      <c r="C28" t="s">
        <v>66</v>
      </c>
      <c r="D28" t="s">
        <v>20</v>
      </c>
      <c r="E28" t="s">
        <v>21</v>
      </c>
      <c r="F28" t="s">
        <v>67</v>
      </c>
      <c r="G28" t="s">
        <v>23</v>
      </c>
      <c r="P28">
        <f>COUNTIFS(keyword_comparison[record_identifier],keyword_comparison[[#This Row],[record_identifier]],keyword_comparison[Review],"&lt;&gt;")</f>
        <v>19</v>
      </c>
      <c r="Q28" cm="1">
        <f t="array" ref="Q28">SUMPRODUCT((keyword_comparison[record_identifier]=keyword_comparison[[#This Row],[record_identifier]])*(LEN(keyword_comparison[keyword_matcher_output])&gt;0))</f>
        <v>2</v>
      </c>
    </row>
    <row r="29" spans="1:17" x14ac:dyDescent="0.25">
      <c r="A29" t="s">
        <v>64</v>
      </c>
      <c r="B29" t="s">
        <v>65</v>
      </c>
      <c r="C29" t="s">
        <v>66</v>
      </c>
      <c r="D29" t="s">
        <v>20</v>
      </c>
      <c r="E29" t="s">
        <v>21</v>
      </c>
      <c r="F29" t="s">
        <v>68</v>
      </c>
      <c r="G29" t="s">
        <v>23</v>
      </c>
      <c r="P29">
        <f>COUNTIFS(keyword_comparison[record_identifier],keyword_comparison[[#This Row],[record_identifier]],keyword_comparison[Review],"&lt;&gt;")</f>
        <v>19</v>
      </c>
      <c r="Q29" cm="1">
        <f t="array" ref="Q29">SUMPRODUCT((keyword_comparison[record_identifier]=keyword_comparison[[#This Row],[record_identifier]])*(LEN(keyword_comparison[keyword_matcher_output])&gt;0))</f>
        <v>2</v>
      </c>
    </row>
    <row r="30" spans="1:17" x14ac:dyDescent="0.25">
      <c r="A30" t="s">
        <v>64</v>
      </c>
      <c r="B30" t="s">
        <v>65</v>
      </c>
      <c r="C30" t="s">
        <v>66</v>
      </c>
      <c r="D30" t="s">
        <v>20</v>
      </c>
      <c r="E30" t="s">
        <v>21</v>
      </c>
      <c r="F30" t="s">
        <v>69</v>
      </c>
      <c r="G30" t="s">
        <v>31</v>
      </c>
      <c r="P30">
        <f>COUNTIFS(keyword_comparison[record_identifier],keyword_comparison[[#This Row],[record_identifier]],keyword_comparison[Review],"&lt;&gt;")</f>
        <v>19</v>
      </c>
      <c r="Q30" cm="1">
        <f t="array" ref="Q30">SUMPRODUCT((keyword_comparison[record_identifier]=keyword_comparison[[#This Row],[record_identifier]])*(LEN(keyword_comparison[keyword_matcher_output])&gt;0))</f>
        <v>2</v>
      </c>
    </row>
    <row r="31" spans="1:17" x14ac:dyDescent="0.25">
      <c r="A31" t="s">
        <v>64</v>
      </c>
      <c r="B31" t="s">
        <v>65</v>
      </c>
      <c r="C31" t="s">
        <v>66</v>
      </c>
      <c r="D31" t="s">
        <v>20</v>
      </c>
      <c r="E31" t="s">
        <v>21</v>
      </c>
      <c r="F31" t="s">
        <v>32</v>
      </c>
      <c r="G31" t="s">
        <v>31</v>
      </c>
      <c r="P31">
        <f>COUNTIFS(keyword_comparison[record_identifier],keyword_comparison[[#This Row],[record_identifier]],keyword_comparison[Review],"&lt;&gt;")</f>
        <v>19</v>
      </c>
      <c r="Q31" cm="1">
        <f t="array" ref="Q31">SUMPRODUCT((keyword_comparison[record_identifier]=keyword_comparison[[#This Row],[record_identifier]])*(LEN(keyword_comparison[keyword_matcher_output])&gt;0))</f>
        <v>2</v>
      </c>
    </row>
    <row r="32" spans="1:17" x14ac:dyDescent="0.25">
      <c r="A32" t="s">
        <v>64</v>
      </c>
      <c r="B32" t="s">
        <v>65</v>
      </c>
      <c r="C32" t="s">
        <v>66</v>
      </c>
      <c r="D32" t="s">
        <v>20</v>
      </c>
      <c r="E32" t="s">
        <v>21</v>
      </c>
      <c r="F32" t="s">
        <v>70</v>
      </c>
      <c r="G32" t="s">
        <v>31</v>
      </c>
      <c r="P32">
        <f>COUNTIFS(keyword_comparison[record_identifier],keyword_comparison[[#This Row],[record_identifier]],keyword_comparison[Review],"&lt;&gt;")</f>
        <v>19</v>
      </c>
      <c r="Q32" cm="1">
        <f t="array" ref="Q32">SUMPRODUCT((keyword_comparison[record_identifier]=keyword_comparison[[#This Row],[record_identifier]])*(LEN(keyword_comparison[keyword_matcher_output])&gt;0))</f>
        <v>2</v>
      </c>
    </row>
    <row r="33" spans="1:17" x14ac:dyDescent="0.25">
      <c r="A33" t="s">
        <v>64</v>
      </c>
      <c r="B33" t="s">
        <v>65</v>
      </c>
      <c r="C33" t="s">
        <v>66</v>
      </c>
      <c r="D33" t="s">
        <v>20</v>
      </c>
      <c r="E33" t="s">
        <v>21</v>
      </c>
      <c r="F33" t="s">
        <v>71</v>
      </c>
      <c r="G33" t="s">
        <v>72</v>
      </c>
      <c r="P33">
        <f>COUNTIFS(keyword_comparison[record_identifier],keyword_comparison[[#This Row],[record_identifier]],keyword_comparison[Review],"&lt;&gt;")</f>
        <v>19</v>
      </c>
      <c r="Q33" cm="1">
        <f t="array" ref="Q33">SUMPRODUCT((keyword_comparison[record_identifier]=keyword_comparison[[#This Row],[record_identifier]])*(LEN(keyword_comparison[keyword_matcher_output])&gt;0))</f>
        <v>2</v>
      </c>
    </row>
    <row r="34" spans="1:17" x14ac:dyDescent="0.25">
      <c r="A34" t="s">
        <v>64</v>
      </c>
      <c r="B34" t="s">
        <v>65</v>
      </c>
      <c r="C34" t="s">
        <v>66</v>
      </c>
      <c r="D34" t="s">
        <v>20</v>
      </c>
      <c r="E34" t="s">
        <v>21</v>
      </c>
      <c r="F34" t="s">
        <v>73</v>
      </c>
      <c r="G34" t="s">
        <v>23</v>
      </c>
      <c r="P34">
        <f>COUNTIFS(keyword_comparison[record_identifier],keyword_comparison[[#This Row],[record_identifier]],keyword_comparison[Review],"&lt;&gt;")</f>
        <v>19</v>
      </c>
      <c r="Q34" cm="1">
        <f t="array" ref="Q34">SUMPRODUCT((keyword_comparison[record_identifier]=keyword_comparison[[#This Row],[record_identifier]])*(LEN(keyword_comparison[keyword_matcher_output])&gt;0))</f>
        <v>2</v>
      </c>
    </row>
    <row r="35" spans="1:17" x14ac:dyDescent="0.25">
      <c r="A35" t="s">
        <v>64</v>
      </c>
      <c r="B35" t="s">
        <v>65</v>
      </c>
      <c r="C35" t="s">
        <v>66</v>
      </c>
      <c r="D35" t="s">
        <v>20</v>
      </c>
      <c r="E35" t="s">
        <v>21</v>
      </c>
      <c r="F35" t="s">
        <v>74</v>
      </c>
      <c r="G35" t="s">
        <v>72</v>
      </c>
      <c r="P35">
        <f>COUNTIFS(keyword_comparison[record_identifier],keyword_comparison[[#This Row],[record_identifier]],keyword_comparison[Review],"&lt;&gt;")</f>
        <v>19</v>
      </c>
      <c r="Q35" cm="1">
        <f t="array" ref="Q35">SUMPRODUCT((keyword_comparison[record_identifier]=keyword_comparison[[#This Row],[record_identifier]])*(LEN(keyword_comparison[keyword_matcher_output])&gt;0))</f>
        <v>2</v>
      </c>
    </row>
    <row r="36" spans="1:17" x14ac:dyDescent="0.25">
      <c r="A36" t="s">
        <v>64</v>
      </c>
      <c r="B36" t="s">
        <v>65</v>
      </c>
      <c r="C36" t="s">
        <v>66</v>
      </c>
      <c r="D36" t="s">
        <v>20</v>
      </c>
      <c r="E36" t="s">
        <v>21</v>
      </c>
      <c r="F36" t="s">
        <v>75</v>
      </c>
      <c r="G36" t="s">
        <v>23</v>
      </c>
      <c r="P36">
        <f>COUNTIFS(keyword_comparison[record_identifier],keyword_comparison[[#This Row],[record_identifier]],keyword_comparison[Review],"&lt;&gt;")</f>
        <v>19</v>
      </c>
      <c r="Q36" cm="1">
        <f t="array" ref="Q36">SUMPRODUCT((keyword_comparison[record_identifier]=keyword_comparison[[#This Row],[record_identifier]])*(LEN(keyword_comparison[keyword_matcher_output])&gt;0))</f>
        <v>2</v>
      </c>
    </row>
    <row r="37" spans="1:17" x14ac:dyDescent="0.25">
      <c r="A37" t="s">
        <v>64</v>
      </c>
      <c r="B37" t="s">
        <v>65</v>
      </c>
      <c r="C37" t="s">
        <v>66</v>
      </c>
      <c r="D37" t="s">
        <v>20</v>
      </c>
      <c r="E37" t="s">
        <v>21</v>
      </c>
      <c r="F37" t="s">
        <v>76</v>
      </c>
      <c r="G37" t="s">
        <v>23</v>
      </c>
      <c r="H37" t="s">
        <v>54</v>
      </c>
      <c r="I37" t="s">
        <v>77</v>
      </c>
      <c r="P37">
        <f>COUNTIFS(keyword_comparison[record_identifier],keyword_comparison[[#This Row],[record_identifier]],keyword_comparison[Review],"&lt;&gt;")</f>
        <v>19</v>
      </c>
      <c r="Q37" cm="1">
        <f t="array" ref="Q37">SUMPRODUCT((keyword_comparison[record_identifier]=keyword_comparison[[#This Row],[record_identifier]])*(LEN(keyword_comparison[keyword_matcher_output])&gt;0))</f>
        <v>2</v>
      </c>
    </row>
    <row r="38" spans="1:17" x14ac:dyDescent="0.25">
      <c r="A38" t="s">
        <v>64</v>
      </c>
      <c r="B38" t="s">
        <v>65</v>
      </c>
      <c r="C38" t="s">
        <v>66</v>
      </c>
      <c r="D38" t="s">
        <v>20</v>
      </c>
      <c r="E38" t="s">
        <v>21</v>
      </c>
      <c r="F38" t="s">
        <v>78</v>
      </c>
      <c r="G38" t="s">
        <v>23</v>
      </c>
      <c r="H38" t="s">
        <v>54</v>
      </c>
      <c r="P38">
        <f>COUNTIFS(keyword_comparison[record_identifier],keyword_comparison[[#This Row],[record_identifier]],keyword_comparison[Review],"&lt;&gt;")</f>
        <v>19</v>
      </c>
      <c r="Q38" cm="1">
        <f t="array" ref="Q38">SUMPRODUCT((keyword_comparison[record_identifier]=keyword_comparison[[#This Row],[record_identifier]])*(LEN(keyword_comparison[keyword_matcher_output])&gt;0))</f>
        <v>2</v>
      </c>
    </row>
    <row r="39" spans="1:17" x14ac:dyDescent="0.25">
      <c r="A39" t="s">
        <v>64</v>
      </c>
      <c r="B39" t="s">
        <v>65</v>
      </c>
      <c r="C39" t="s">
        <v>66</v>
      </c>
      <c r="D39" t="s">
        <v>20</v>
      </c>
      <c r="E39" t="s">
        <v>21</v>
      </c>
      <c r="F39" t="s">
        <v>79</v>
      </c>
      <c r="G39" t="s">
        <v>23</v>
      </c>
      <c r="H39" t="s">
        <v>54</v>
      </c>
      <c r="P39">
        <f>COUNTIFS(keyword_comparison[record_identifier],keyword_comparison[[#This Row],[record_identifier]],keyword_comparison[Review],"&lt;&gt;")</f>
        <v>19</v>
      </c>
      <c r="Q39" cm="1">
        <f t="array" ref="Q39">SUMPRODUCT((keyword_comparison[record_identifier]=keyword_comparison[[#This Row],[record_identifier]])*(LEN(keyword_comparison[keyword_matcher_output])&gt;0))</f>
        <v>2</v>
      </c>
    </row>
    <row r="40" spans="1:17" x14ac:dyDescent="0.25">
      <c r="A40" t="s">
        <v>64</v>
      </c>
      <c r="B40" t="s">
        <v>65</v>
      </c>
      <c r="C40" t="s">
        <v>66</v>
      </c>
      <c r="D40" t="s">
        <v>20</v>
      </c>
      <c r="E40" t="s">
        <v>21</v>
      </c>
      <c r="F40" t="s">
        <v>34</v>
      </c>
      <c r="G40" t="s">
        <v>23</v>
      </c>
      <c r="H40" t="s">
        <v>35</v>
      </c>
      <c r="I40" t="s">
        <v>80</v>
      </c>
      <c r="P40">
        <f>COUNTIFS(keyword_comparison[record_identifier],keyword_comparison[[#This Row],[record_identifier]],keyword_comparison[Review],"&lt;&gt;")</f>
        <v>19</v>
      </c>
      <c r="Q40" cm="1">
        <f t="array" ref="Q40">SUMPRODUCT((keyword_comparison[record_identifier]=keyword_comparison[[#This Row],[record_identifier]])*(LEN(keyword_comparison[keyword_matcher_output])&gt;0))</f>
        <v>2</v>
      </c>
    </row>
    <row r="41" spans="1:17" x14ac:dyDescent="0.25">
      <c r="A41" t="s">
        <v>64</v>
      </c>
      <c r="B41" t="s">
        <v>65</v>
      </c>
      <c r="C41" t="s">
        <v>66</v>
      </c>
      <c r="D41" t="s">
        <v>20</v>
      </c>
      <c r="E41" t="s">
        <v>21</v>
      </c>
      <c r="F41" t="s">
        <v>81</v>
      </c>
      <c r="G41" t="s">
        <v>23</v>
      </c>
      <c r="H41" t="s">
        <v>54</v>
      </c>
      <c r="P41">
        <f>COUNTIFS(keyword_comparison[record_identifier],keyword_comparison[[#This Row],[record_identifier]],keyword_comparison[Review],"&lt;&gt;")</f>
        <v>19</v>
      </c>
      <c r="Q41" cm="1">
        <f t="array" ref="Q41">SUMPRODUCT((keyword_comparison[record_identifier]=keyword_comparison[[#This Row],[record_identifier]])*(LEN(keyword_comparison[keyword_matcher_output])&gt;0))</f>
        <v>2</v>
      </c>
    </row>
    <row r="42" spans="1:17" x14ac:dyDescent="0.25">
      <c r="A42" t="s">
        <v>64</v>
      </c>
      <c r="B42" t="s">
        <v>65</v>
      </c>
      <c r="C42" t="s">
        <v>66</v>
      </c>
      <c r="D42" t="s">
        <v>20</v>
      </c>
      <c r="E42" t="s">
        <v>21</v>
      </c>
      <c r="F42" t="s">
        <v>82</v>
      </c>
      <c r="G42" t="s">
        <v>23</v>
      </c>
      <c r="H42" t="s">
        <v>54</v>
      </c>
      <c r="P42">
        <f>COUNTIFS(keyword_comparison[record_identifier],keyword_comparison[[#This Row],[record_identifier]],keyword_comparison[Review],"&lt;&gt;")</f>
        <v>19</v>
      </c>
      <c r="Q42" cm="1">
        <f t="array" ref="Q42">SUMPRODUCT((keyword_comparison[record_identifier]=keyword_comparison[[#This Row],[record_identifier]])*(LEN(keyword_comparison[keyword_matcher_output])&gt;0))</f>
        <v>2</v>
      </c>
    </row>
    <row r="43" spans="1:17" x14ac:dyDescent="0.25">
      <c r="A43" t="s">
        <v>64</v>
      </c>
      <c r="B43" t="s">
        <v>65</v>
      </c>
      <c r="C43" t="s">
        <v>66</v>
      </c>
      <c r="D43" t="s">
        <v>20</v>
      </c>
      <c r="E43" t="s">
        <v>21</v>
      </c>
      <c r="F43" t="s">
        <v>83</v>
      </c>
      <c r="G43" t="s">
        <v>23</v>
      </c>
      <c r="H43" t="s">
        <v>54</v>
      </c>
      <c r="P43">
        <f>COUNTIFS(keyword_comparison[record_identifier],keyword_comparison[[#This Row],[record_identifier]],keyword_comparison[Review],"&lt;&gt;")</f>
        <v>19</v>
      </c>
      <c r="Q43" cm="1">
        <f t="array" ref="Q43">SUMPRODUCT((keyword_comparison[record_identifier]=keyword_comparison[[#This Row],[record_identifier]])*(LEN(keyword_comparison[keyword_matcher_output])&gt;0))</f>
        <v>2</v>
      </c>
    </row>
    <row r="44" spans="1:17" x14ac:dyDescent="0.25">
      <c r="A44" t="s">
        <v>64</v>
      </c>
      <c r="B44" t="s">
        <v>65</v>
      </c>
      <c r="C44" t="s">
        <v>66</v>
      </c>
      <c r="D44" t="s">
        <v>20</v>
      </c>
      <c r="E44" t="s">
        <v>21</v>
      </c>
      <c r="F44" t="s">
        <v>84</v>
      </c>
      <c r="G44" t="s">
        <v>23</v>
      </c>
      <c r="H44" t="s">
        <v>85</v>
      </c>
      <c r="I44" t="s">
        <v>80</v>
      </c>
      <c r="P44">
        <f>COUNTIFS(keyword_comparison[record_identifier],keyword_comparison[[#This Row],[record_identifier]],keyword_comparison[Review],"&lt;&gt;")</f>
        <v>19</v>
      </c>
      <c r="Q44" cm="1">
        <f t="array" ref="Q44">SUMPRODUCT((keyword_comparison[record_identifier]=keyword_comparison[[#This Row],[record_identifier]])*(LEN(keyword_comparison[keyword_matcher_output])&gt;0))</f>
        <v>2</v>
      </c>
    </row>
    <row r="45" spans="1:17" x14ac:dyDescent="0.25">
      <c r="A45" t="s">
        <v>64</v>
      </c>
      <c r="B45" t="s">
        <v>65</v>
      </c>
      <c r="C45" t="s">
        <v>66</v>
      </c>
      <c r="D45" t="s">
        <v>20</v>
      </c>
      <c r="E45" t="s">
        <v>21</v>
      </c>
      <c r="F45" t="s">
        <v>86</v>
      </c>
      <c r="G45" t="s">
        <v>23</v>
      </c>
      <c r="H45" t="s">
        <v>54</v>
      </c>
      <c r="P45">
        <f>COUNTIFS(keyword_comparison[record_identifier],keyword_comparison[[#This Row],[record_identifier]],keyword_comparison[Review],"&lt;&gt;")</f>
        <v>19</v>
      </c>
      <c r="Q45" cm="1">
        <f t="array" ref="Q45">SUMPRODUCT((keyword_comparison[record_identifier]=keyword_comparison[[#This Row],[record_identifier]])*(LEN(keyword_comparison[keyword_matcher_output])&gt;0))</f>
        <v>2</v>
      </c>
    </row>
    <row r="46" spans="1:17" x14ac:dyDescent="0.25">
      <c r="A46" t="s">
        <v>64</v>
      </c>
      <c r="B46" t="s">
        <v>65</v>
      </c>
      <c r="C46" t="s">
        <v>66</v>
      </c>
      <c r="D46" t="s">
        <v>20</v>
      </c>
      <c r="E46" t="s">
        <v>21</v>
      </c>
      <c r="F46" t="s">
        <v>87</v>
      </c>
      <c r="G46" t="s">
        <v>23</v>
      </c>
      <c r="H46" t="s">
        <v>54</v>
      </c>
      <c r="P46">
        <f>COUNTIFS(keyword_comparison[record_identifier],keyword_comparison[[#This Row],[record_identifier]],keyword_comparison[Review],"&lt;&gt;")</f>
        <v>19</v>
      </c>
      <c r="Q46" cm="1">
        <f t="array" ref="Q46">SUMPRODUCT((keyword_comparison[record_identifier]=keyword_comparison[[#This Row],[record_identifier]])*(LEN(keyword_comparison[keyword_matcher_output])&gt;0))</f>
        <v>2</v>
      </c>
    </row>
    <row r="47" spans="1:17" x14ac:dyDescent="0.25">
      <c r="A47" t="s">
        <v>64</v>
      </c>
      <c r="B47" t="s">
        <v>65</v>
      </c>
      <c r="C47" t="s">
        <v>66</v>
      </c>
      <c r="D47" t="s">
        <v>20</v>
      </c>
      <c r="E47" t="s">
        <v>33</v>
      </c>
      <c r="H47" t="s">
        <v>54</v>
      </c>
      <c r="I47" t="s">
        <v>80</v>
      </c>
      <c r="J47" t="s">
        <v>34</v>
      </c>
      <c r="K47" s="4" t="s">
        <v>35</v>
      </c>
      <c r="M47">
        <v>0.18659999999999999</v>
      </c>
      <c r="N47">
        <v>1</v>
      </c>
      <c r="P47">
        <f>COUNTIFS(keyword_comparison[record_identifier],keyword_comparison[[#This Row],[record_identifier]],keyword_comparison[Review],"&lt;&gt;")</f>
        <v>19</v>
      </c>
      <c r="Q47" cm="1">
        <f t="array" ref="Q47">SUMPRODUCT((keyword_comparison[record_identifier]=keyword_comparison[[#This Row],[record_identifier]])*(LEN(keyword_comparison[keyword_matcher_output])&gt;0))</f>
        <v>2</v>
      </c>
    </row>
    <row r="48" spans="1:17" x14ac:dyDescent="0.25">
      <c r="A48" t="s">
        <v>64</v>
      </c>
      <c r="B48" t="s">
        <v>65</v>
      </c>
      <c r="C48" t="s">
        <v>66</v>
      </c>
      <c r="D48" t="s">
        <v>20</v>
      </c>
      <c r="E48" t="s">
        <v>33</v>
      </c>
      <c r="H48" t="s">
        <v>54</v>
      </c>
      <c r="I48" t="s">
        <v>88</v>
      </c>
      <c r="J48" t="s">
        <v>89</v>
      </c>
      <c r="K48" s="4" t="s">
        <v>90</v>
      </c>
      <c r="M48">
        <v>7.5999999999999998E-2</v>
      </c>
      <c r="N48">
        <v>2</v>
      </c>
      <c r="P48">
        <f>COUNTIFS(keyword_comparison[record_identifier],keyword_comparison[[#This Row],[record_identifier]],keyword_comparison[Review],"&lt;&gt;")</f>
        <v>19</v>
      </c>
      <c r="Q48" cm="1">
        <f t="array" ref="Q48">SUMPRODUCT((keyword_comparison[record_identifier]=keyword_comparison[[#This Row],[record_identifier]])*(LEN(keyword_comparison[keyword_matcher_output])&gt;0))</f>
        <v>2</v>
      </c>
    </row>
    <row r="49" spans="1:17" ht="20.25" customHeight="1" x14ac:dyDescent="0.25">
      <c r="A49" t="s">
        <v>64</v>
      </c>
      <c r="B49" t="s">
        <v>65</v>
      </c>
      <c r="C49" t="s">
        <v>66</v>
      </c>
      <c r="D49" t="s">
        <v>20</v>
      </c>
      <c r="E49" t="s">
        <v>33</v>
      </c>
      <c r="H49" t="s">
        <v>54</v>
      </c>
      <c r="I49" t="s">
        <v>80</v>
      </c>
      <c r="J49" t="s">
        <v>91</v>
      </c>
      <c r="K49" t="s">
        <v>92</v>
      </c>
      <c r="M49">
        <v>5.28E-2</v>
      </c>
      <c r="N49">
        <v>3</v>
      </c>
      <c r="P49">
        <f>COUNTIFS(keyword_comparison[record_identifier],keyword_comparison[[#This Row],[record_identifier]],keyword_comparison[Review],"&lt;&gt;")</f>
        <v>19</v>
      </c>
      <c r="Q49" cm="1">
        <f t="array" ref="Q49">SUMPRODUCT((keyword_comparison[record_identifier]=keyword_comparison[[#This Row],[record_identifier]])*(LEN(keyword_comparison[keyword_matcher_output])&gt;0))</f>
        <v>2</v>
      </c>
    </row>
    <row r="50" spans="1:17" x14ac:dyDescent="0.25">
      <c r="A50" t="s">
        <v>64</v>
      </c>
      <c r="B50" t="s">
        <v>65</v>
      </c>
      <c r="C50" t="s">
        <v>66</v>
      </c>
      <c r="D50" t="s">
        <v>20</v>
      </c>
      <c r="E50" t="s">
        <v>33</v>
      </c>
      <c r="H50" t="s">
        <v>54</v>
      </c>
      <c r="I50" t="s">
        <v>80</v>
      </c>
      <c r="J50" t="s">
        <v>91</v>
      </c>
      <c r="K50" t="s">
        <v>93</v>
      </c>
      <c r="M50">
        <v>5.28E-2</v>
      </c>
      <c r="N50">
        <v>4</v>
      </c>
      <c r="P50">
        <f>COUNTIFS(keyword_comparison[record_identifier],keyword_comparison[[#This Row],[record_identifier]],keyword_comparison[Review],"&lt;&gt;")</f>
        <v>19</v>
      </c>
      <c r="Q50" cm="1">
        <f t="array" ref="Q50">SUMPRODUCT((keyword_comparison[record_identifier]=keyword_comparison[[#This Row],[record_identifier]])*(LEN(keyword_comparison[keyword_matcher_output])&gt;0))</f>
        <v>2</v>
      </c>
    </row>
    <row r="51" spans="1:17" x14ac:dyDescent="0.25">
      <c r="A51" t="s">
        <v>64</v>
      </c>
      <c r="B51" t="s">
        <v>65</v>
      </c>
      <c r="C51" t="s">
        <v>66</v>
      </c>
      <c r="D51" t="s">
        <v>20</v>
      </c>
      <c r="E51" t="s">
        <v>48</v>
      </c>
      <c r="H51" t="s">
        <v>54</v>
      </c>
      <c r="I51" t="s">
        <v>80</v>
      </c>
      <c r="J51" t="s">
        <v>84</v>
      </c>
      <c r="K51" t="s">
        <v>85</v>
      </c>
      <c r="P51">
        <f>COUNTIFS(keyword_comparison[record_identifier],keyword_comparison[[#This Row],[record_identifier]],keyword_comparison[Review],"&lt;&gt;")</f>
        <v>19</v>
      </c>
      <c r="Q51" cm="1">
        <f t="array" ref="Q51">SUMPRODUCT((keyword_comparison[record_identifier]=keyword_comparison[[#This Row],[record_identifier]])*(LEN(keyword_comparison[keyword_matcher_output])&gt;0))</f>
        <v>2</v>
      </c>
    </row>
    <row r="52" spans="1:17" x14ac:dyDescent="0.25">
      <c r="A52" t="s">
        <v>64</v>
      </c>
      <c r="B52" t="s">
        <v>65</v>
      </c>
      <c r="C52" t="s">
        <v>66</v>
      </c>
      <c r="D52" t="s">
        <v>20</v>
      </c>
      <c r="E52" t="s">
        <v>48</v>
      </c>
      <c r="H52" t="s">
        <v>54</v>
      </c>
      <c r="I52" t="s">
        <v>88</v>
      </c>
      <c r="J52" t="s">
        <v>94</v>
      </c>
      <c r="K52" t="s">
        <v>95</v>
      </c>
      <c r="P52">
        <f>COUNTIFS(keyword_comparison[record_identifier],keyword_comparison[[#This Row],[record_identifier]],keyword_comparison[Review],"&lt;&gt;")</f>
        <v>19</v>
      </c>
      <c r="Q52" cm="1">
        <f t="array" ref="Q52">SUMPRODUCT((keyword_comparison[record_identifier]=keyword_comparison[[#This Row],[record_identifier]])*(LEN(keyword_comparison[keyword_matcher_output])&gt;0))</f>
        <v>2</v>
      </c>
    </row>
    <row r="53" spans="1:17" x14ac:dyDescent="0.25">
      <c r="A53" t="s">
        <v>64</v>
      </c>
      <c r="B53" t="s">
        <v>65</v>
      </c>
      <c r="C53" t="s">
        <v>66</v>
      </c>
      <c r="D53" t="s">
        <v>20</v>
      </c>
      <c r="E53" t="s">
        <v>53</v>
      </c>
      <c r="F53" t="s">
        <v>54</v>
      </c>
      <c r="G53" t="s">
        <v>54</v>
      </c>
      <c r="H53" t="s">
        <v>54</v>
      </c>
      <c r="I53" t="s">
        <v>88</v>
      </c>
      <c r="J53" t="s">
        <v>89</v>
      </c>
      <c r="K53" t="s">
        <v>90</v>
      </c>
      <c r="O53">
        <v>1</v>
      </c>
      <c r="P53">
        <f>COUNTIFS(keyword_comparison[record_identifier],keyword_comparison[[#This Row],[record_identifier]],keyword_comparison[Review],"&lt;&gt;")</f>
        <v>19</v>
      </c>
      <c r="Q53" cm="1">
        <f t="array" ref="Q53">SUMPRODUCT((keyword_comparison[record_identifier]=keyword_comparison[[#This Row],[record_identifier]])*(LEN(keyword_comparison[keyword_matcher_output])&gt;0))</f>
        <v>2</v>
      </c>
    </row>
    <row r="54" spans="1:17" x14ac:dyDescent="0.25">
      <c r="A54" t="s">
        <v>64</v>
      </c>
      <c r="B54" t="s">
        <v>65</v>
      </c>
      <c r="C54" t="s">
        <v>66</v>
      </c>
      <c r="D54" t="s">
        <v>20</v>
      </c>
      <c r="E54" t="s">
        <v>53</v>
      </c>
      <c r="F54" t="s">
        <v>54</v>
      </c>
      <c r="G54" t="s">
        <v>54</v>
      </c>
      <c r="H54" t="s">
        <v>54</v>
      </c>
      <c r="I54" t="s">
        <v>80</v>
      </c>
      <c r="J54" t="s">
        <v>34</v>
      </c>
      <c r="K54" t="s">
        <v>35</v>
      </c>
      <c r="O54">
        <v>2</v>
      </c>
      <c r="P54">
        <f>COUNTIFS(keyword_comparison[record_identifier],keyword_comparison[[#This Row],[record_identifier]],keyword_comparison[Review],"&lt;&gt;")</f>
        <v>19</v>
      </c>
      <c r="Q54" cm="1">
        <f t="array" ref="Q54">SUMPRODUCT((keyword_comparison[record_identifier]=keyword_comparison[[#This Row],[record_identifier]])*(LEN(keyword_comparison[keyword_matcher_output])&gt;0))</f>
        <v>2</v>
      </c>
    </row>
    <row r="55" spans="1:17" x14ac:dyDescent="0.25">
      <c r="A55" t="s">
        <v>64</v>
      </c>
      <c r="B55" t="s">
        <v>65</v>
      </c>
      <c r="C55" t="s">
        <v>66</v>
      </c>
      <c r="D55" t="s">
        <v>20</v>
      </c>
      <c r="E55" t="s">
        <v>53</v>
      </c>
      <c r="F55" t="s">
        <v>54</v>
      </c>
      <c r="G55" t="s">
        <v>54</v>
      </c>
      <c r="H55" t="s">
        <v>54</v>
      </c>
      <c r="I55" t="s">
        <v>88</v>
      </c>
      <c r="J55" t="s">
        <v>96</v>
      </c>
      <c r="K55" t="s">
        <v>97</v>
      </c>
      <c r="O55">
        <v>3</v>
      </c>
      <c r="P55">
        <f>COUNTIFS(keyword_comparison[record_identifier],keyword_comparison[[#This Row],[record_identifier]],keyword_comparison[Review],"&lt;&gt;")</f>
        <v>19</v>
      </c>
      <c r="Q55" cm="1">
        <f t="array" ref="Q55">SUMPRODUCT((keyword_comparison[record_identifier]=keyword_comparison[[#This Row],[record_identifier]])*(LEN(keyword_comparison[keyword_matcher_output])&gt;0))</f>
        <v>2</v>
      </c>
    </row>
    <row r="56" spans="1:17" x14ac:dyDescent="0.25">
      <c r="A56" t="s">
        <v>64</v>
      </c>
      <c r="B56" t="s">
        <v>65</v>
      </c>
      <c r="C56" t="s">
        <v>66</v>
      </c>
      <c r="D56" t="s">
        <v>20</v>
      </c>
      <c r="E56" t="s">
        <v>53</v>
      </c>
      <c r="F56" t="s">
        <v>54</v>
      </c>
      <c r="G56" t="s">
        <v>54</v>
      </c>
      <c r="H56" t="s">
        <v>54</v>
      </c>
      <c r="I56" t="s">
        <v>80</v>
      </c>
      <c r="J56" t="s">
        <v>98</v>
      </c>
      <c r="K56" t="s">
        <v>93</v>
      </c>
      <c r="O56">
        <v>4</v>
      </c>
      <c r="P56">
        <f>COUNTIFS(keyword_comparison[record_identifier],keyword_comparison[[#This Row],[record_identifier]],keyword_comparison[Review],"&lt;&gt;")</f>
        <v>19</v>
      </c>
      <c r="Q56" cm="1">
        <f t="array" ref="Q56">SUMPRODUCT((keyword_comparison[record_identifier]=keyword_comparison[[#This Row],[record_identifier]])*(LEN(keyword_comparison[keyword_matcher_output])&gt;0))</f>
        <v>2</v>
      </c>
    </row>
    <row r="57" spans="1:17" x14ac:dyDescent="0.25">
      <c r="A57" t="s">
        <v>64</v>
      </c>
      <c r="B57" t="s">
        <v>65</v>
      </c>
      <c r="C57" t="s">
        <v>66</v>
      </c>
      <c r="D57" t="s">
        <v>20</v>
      </c>
      <c r="E57" t="s">
        <v>53</v>
      </c>
      <c r="F57" t="s">
        <v>54</v>
      </c>
      <c r="G57" t="s">
        <v>54</v>
      </c>
      <c r="H57" t="s">
        <v>54</v>
      </c>
      <c r="I57" t="s">
        <v>80</v>
      </c>
      <c r="J57" t="s">
        <v>98</v>
      </c>
      <c r="K57" t="s">
        <v>92</v>
      </c>
      <c r="O57">
        <v>4</v>
      </c>
      <c r="P57">
        <f>COUNTIFS(keyword_comparison[record_identifier],keyword_comparison[[#This Row],[record_identifier]],keyword_comparison[Review],"&lt;&gt;")</f>
        <v>19</v>
      </c>
      <c r="Q57" cm="1">
        <f t="array" ref="Q57">SUMPRODUCT((keyword_comparison[record_identifier]=keyword_comparison[[#This Row],[record_identifier]])*(LEN(keyword_comparison[keyword_matcher_output])&gt;0))</f>
        <v>2</v>
      </c>
    </row>
    <row r="58" spans="1:17" x14ac:dyDescent="0.25">
      <c r="A58" t="s">
        <v>64</v>
      </c>
      <c r="B58" t="s">
        <v>65</v>
      </c>
      <c r="C58" t="s">
        <v>66</v>
      </c>
      <c r="D58" t="s">
        <v>20</v>
      </c>
      <c r="E58" t="s">
        <v>53</v>
      </c>
      <c r="F58" t="s">
        <v>54</v>
      </c>
      <c r="G58" t="s">
        <v>54</v>
      </c>
      <c r="H58" t="s">
        <v>54</v>
      </c>
      <c r="I58" t="s">
        <v>88</v>
      </c>
      <c r="J58" t="s">
        <v>99</v>
      </c>
      <c r="K58" t="s">
        <v>100</v>
      </c>
      <c r="O58">
        <v>6</v>
      </c>
      <c r="P58">
        <f>COUNTIFS(keyword_comparison[record_identifier],keyword_comparison[[#This Row],[record_identifier]],keyword_comparison[Review],"&lt;&gt;")</f>
        <v>19</v>
      </c>
      <c r="Q58" cm="1">
        <f t="array" ref="Q58">SUMPRODUCT((keyword_comparison[record_identifier]=keyword_comparison[[#This Row],[record_identifier]])*(LEN(keyword_comparison[keyword_matcher_output])&gt;0))</f>
        <v>2</v>
      </c>
    </row>
    <row r="59" spans="1:17" x14ac:dyDescent="0.25">
      <c r="A59" t="s">
        <v>64</v>
      </c>
      <c r="B59" t="s">
        <v>65</v>
      </c>
      <c r="C59" t="s">
        <v>66</v>
      </c>
      <c r="D59" t="s">
        <v>20</v>
      </c>
      <c r="E59" t="s">
        <v>53</v>
      </c>
      <c r="F59" t="s">
        <v>54</v>
      </c>
      <c r="G59" t="s">
        <v>54</v>
      </c>
      <c r="H59" t="s">
        <v>54</v>
      </c>
      <c r="I59" t="s">
        <v>88</v>
      </c>
      <c r="J59" t="s">
        <v>101</v>
      </c>
      <c r="K59" t="s">
        <v>102</v>
      </c>
      <c r="O59">
        <v>7</v>
      </c>
      <c r="P59">
        <f>COUNTIFS(keyword_comparison[record_identifier],keyword_comparison[[#This Row],[record_identifier]],keyword_comparison[Review],"&lt;&gt;")</f>
        <v>19</v>
      </c>
      <c r="Q59" cm="1">
        <f t="array" ref="Q59">SUMPRODUCT((keyword_comparison[record_identifier]=keyword_comparison[[#This Row],[record_identifier]])*(LEN(keyword_comparison[keyword_matcher_output])&gt;0))</f>
        <v>2</v>
      </c>
    </row>
    <row r="60" spans="1:17" x14ac:dyDescent="0.25">
      <c r="A60" t="s">
        <v>64</v>
      </c>
      <c r="B60" t="s">
        <v>65</v>
      </c>
      <c r="C60" t="s">
        <v>66</v>
      </c>
      <c r="D60" t="s">
        <v>20</v>
      </c>
      <c r="E60" t="s">
        <v>53</v>
      </c>
      <c r="F60" t="s">
        <v>54</v>
      </c>
      <c r="G60" t="s">
        <v>54</v>
      </c>
      <c r="H60" t="s">
        <v>54</v>
      </c>
      <c r="I60" t="s">
        <v>88</v>
      </c>
      <c r="J60" t="s">
        <v>103</v>
      </c>
      <c r="K60" t="s">
        <v>104</v>
      </c>
      <c r="O60">
        <v>8</v>
      </c>
      <c r="P60">
        <f>COUNTIFS(keyword_comparison[record_identifier],keyword_comparison[[#This Row],[record_identifier]],keyword_comparison[Review],"&lt;&gt;")</f>
        <v>19</v>
      </c>
      <c r="Q60" cm="1">
        <f t="array" ref="Q60">SUMPRODUCT((keyword_comparison[record_identifier]=keyword_comparison[[#This Row],[record_identifier]])*(LEN(keyword_comparison[keyword_matcher_output])&gt;0))</f>
        <v>2</v>
      </c>
    </row>
    <row r="61" spans="1:17" x14ac:dyDescent="0.25">
      <c r="A61" t="s">
        <v>64</v>
      </c>
      <c r="B61" t="s">
        <v>65</v>
      </c>
      <c r="C61" t="s">
        <v>66</v>
      </c>
      <c r="D61" t="s">
        <v>20</v>
      </c>
      <c r="E61" t="s">
        <v>53</v>
      </c>
      <c r="F61" t="s">
        <v>54</v>
      </c>
      <c r="G61" t="s">
        <v>54</v>
      </c>
      <c r="H61" t="s">
        <v>54</v>
      </c>
      <c r="I61" t="s">
        <v>88</v>
      </c>
      <c r="J61" t="s">
        <v>105</v>
      </c>
      <c r="K61" t="s">
        <v>106</v>
      </c>
      <c r="O61">
        <v>9</v>
      </c>
      <c r="P61">
        <f>COUNTIFS(keyword_comparison[record_identifier],keyword_comparison[[#This Row],[record_identifier]],keyword_comparison[Review],"&lt;&gt;")</f>
        <v>19</v>
      </c>
      <c r="Q61" cm="1">
        <f t="array" ref="Q61">SUMPRODUCT((keyword_comparison[record_identifier]=keyword_comparison[[#This Row],[record_identifier]])*(LEN(keyword_comparison[keyword_matcher_output])&gt;0))</f>
        <v>2</v>
      </c>
    </row>
    <row r="62" spans="1:17" x14ac:dyDescent="0.25">
      <c r="A62" t="s">
        <v>64</v>
      </c>
      <c r="B62" t="s">
        <v>65</v>
      </c>
      <c r="C62" t="s">
        <v>66</v>
      </c>
      <c r="D62" t="s">
        <v>20</v>
      </c>
      <c r="E62" t="s">
        <v>53</v>
      </c>
      <c r="F62" t="s">
        <v>54</v>
      </c>
      <c r="G62" t="s">
        <v>54</v>
      </c>
      <c r="H62" t="s">
        <v>54</v>
      </c>
      <c r="I62" t="s">
        <v>80</v>
      </c>
      <c r="J62" t="s">
        <v>107</v>
      </c>
      <c r="K62" t="s">
        <v>108</v>
      </c>
      <c r="O62">
        <v>10</v>
      </c>
      <c r="P62">
        <f>COUNTIFS(keyword_comparison[record_identifier],keyword_comparison[[#This Row],[record_identifier]],keyword_comparison[Review],"&lt;&gt;")</f>
        <v>19</v>
      </c>
      <c r="Q62" cm="1">
        <f t="array" ref="Q62">SUMPRODUCT((keyword_comparison[record_identifier]=keyword_comparison[[#This Row],[record_identifier]])*(LEN(keyword_comparison[keyword_matcher_output])&gt;0))</f>
        <v>2</v>
      </c>
    </row>
    <row r="63" spans="1:17" x14ac:dyDescent="0.25">
      <c r="A63" t="s">
        <v>109</v>
      </c>
      <c r="B63" t="s">
        <v>110</v>
      </c>
      <c r="C63" t="s">
        <v>111</v>
      </c>
      <c r="D63" t="s">
        <v>20</v>
      </c>
      <c r="E63" t="s">
        <v>21</v>
      </c>
      <c r="F63" t="s">
        <v>112</v>
      </c>
      <c r="G63" t="s">
        <v>23</v>
      </c>
      <c r="H63" t="s">
        <v>54</v>
      </c>
      <c r="P63">
        <f>COUNTIFS(keyword_comparison[record_identifier],keyword_comparison[[#This Row],[record_identifier]],keyword_comparison[Review],"&lt;&gt;")</f>
        <v>0</v>
      </c>
      <c r="Q63" cm="1">
        <f t="array" ref="Q63">SUMPRODUCT((keyword_comparison[record_identifier]=keyword_comparison[[#This Row],[record_identifier]])*(LEN(keyword_comparison[keyword_matcher_output])&gt;0))</f>
        <v>1</v>
      </c>
    </row>
    <row r="64" spans="1:17" x14ac:dyDescent="0.25">
      <c r="A64" t="s">
        <v>109</v>
      </c>
      <c r="B64" t="s">
        <v>110</v>
      </c>
      <c r="C64" t="s">
        <v>111</v>
      </c>
      <c r="D64" t="s">
        <v>20</v>
      </c>
      <c r="E64" t="s">
        <v>21</v>
      </c>
      <c r="F64" t="s">
        <v>113</v>
      </c>
      <c r="G64" t="s">
        <v>23</v>
      </c>
      <c r="H64" t="s">
        <v>54</v>
      </c>
      <c r="P64">
        <f>COUNTIFS(keyword_comparison[record_identifier],keyword_comparison[[#This Row],[record_identifier]],keyword_comparison[Review],"&lt;&gt;")</f>
        <v>0</v>
      </c>
      <c r="Q64" cm="1">
        <f t="array" ref="Q64">SUMPRODUCT((keyword_comparison[record_identifier]=keyword_comparison[[#This Row],[record_identifier]])*(LEN(keyword_comparison[keyword_matcher_output])&gt;0))</f>
        <v>1</v>
      </c>
    </row>
    <row r="65" spans="1:17" x14ac:dyDescent="0.25">
      <c r="A65" t="s">
        <v>109</v>
      </c>
      <c r="B65" t="s">
        <v>110</v>
      </c>
      <c r="C65" t="s">
        <v>111</v>
      </c>
      <c r="D65" t="s">
        <v>20</v>
      </c>
      <c r="E65" t="s">
        <v>21</v>
      </c>
      <c r="F65" t="s">
        <v>114</v>
      </c>
      <c r="G65" t="s">
        <v>23</v>
      </c>
      <c r="H65" t="s">
        <v>54</v>
      </c>
      <c r="P65">
        <f>COUNTIFS(keyword_comparison[record_identifier],keyword_comparison[[#This Row],[record_identifier]],keyword_comparison[Review],"&lt;&gt;")</f>
        <v>0</v>
      </c>
      <c r="Q65" cm="1">
        <f t="array" ref="Q65">SUMPRODUCT((keyword_comparison[record_identifier]=keyword_comparison[[#This Row],[record_identifier]])*(LEN(keyword_comparison[keyword_matcher_output])&gt;0))</f>
        <v>1</v>
      </c>
    </row>
    <row r="66" spans="1:17" x14ac:dyDescent="0.25">
      <c r="A66" t="s">
        <v>109</v>
      </c>
      <c r="B66" t="s">
        <v>110</v>
      </c>
      <c r="C66" t="s">
        <v>111</v>
      </c>
      <c r="D66" t="s">
        <v>20</v>
      </c>
      <c r="E66" t="s">
        <v>21</v>
      </c>
      <c r="F66" t="s">
        <v>115</v>
      </c>
      <c r="G66" t="s">
        <v>23</v>
      </c>
      <c r="H66" t="s">
        <v>54</v>
      </c>
      <c r="P66">
        <f>COUNTIFS(keyword_comparison[record_identifier],keyword_comparison[[#This Row],[record_identifier]],keyword_comparison[Review],"&lt;&gt;")</f>
        <v>0</v>
      </c>
      <c r="Q66" cm="1">
        <f t="array" ref="Q66">SUMPRODUCT((keyword_comparison[record_identifier]=keyword_comparison[[#This Row],[record_identifier]])*(LEN(keyword_comparison[keyword_matcher_output])&gt;0))</f>
        <v>1</v>
      </c>
    </row>
    <row r="67" spans="1:17" x14ac:dyDescent="0.25">
      <c r="A67" t="s">
        <v>109</v>
      </c>
      <c r="B67" t="s">
        <v>110</v>
      </c>
      <c r="C67" t="s">
        <v>111</v>
      </c>
      <c r="D67" t="s">
        <v>20</v>
      </c>
      <c r="E67" t="s">
        <v>21</v>
      </c>
      <c r="F67" t="s">
        <v>116</v>
      </c>
      <c r="G67" t="s">
        <v>23</v>
      </c>
      <c r="H67" t="s">
        <v>54</v>
      </c>
      <c r="P67">
        <f>COUNTIFS(keyword_comparison[record_identifier],keyword_comparison[[#This Row],[record_identifier]],keyword_comparison[Review],"&lt;&gt;")</f>
        <v>0</v>
      </c>
      <c r="Q67" cm="1">
        <f t="array" ref="Q67">SUMPRODUCT((keyword_comparison[record_identifier]=keyword_comparison[[#This Row],[record_identifier]])*(LEN(keyword_comparison[keyword_matcher_output])&gt;0))</f>
        <v>1</v>
      </c>
    </row>
    <row r="68" spans="1:17" x14ac:dyDescent="0.25">
      <c r="A68" t="s">
        <v>109</v>
      </c>
      <c r="B68" t="s">
        <v>110</v>
      </c>
      <c r="C68" t="s">
        <v>111</v>
      </c>
      <c r="D68" t="s">
        <v>20</v>
      </c>
      <c r="E68" t="s">
        <v>21</v>
      </c>
      <c r="F68" t="s">
        <v>117</v>
      </c>
      <c r="G68" t="s">
        <v>23</v>
      </c>
      <c r="H68" t="s">
        <v>54</v>
      </c>
      <c r="P68">
        <f>COUNTIFS(keyword_comparison[record_identifier],keyword_comparison[[#This Row],[record_identifier]],keyword_comparison[Review],"&lt;&gt;")</f>
        <v>0</v>
      </c>
      <c r="Q68" cm="1">
        <f t="array" ref="Q68">SUMPRODUCT((keyword_comparison[record_identifier]=keyword_comparison[[#This Row],[record_identifier]])*(LEN(keyword_comparison[keyword_matcher_output])&gt;0))</f>
        <v>1</v>
      </c>
    </row>
    <row r="69" spans="1:17" x14ac:dyDescent="0.25">
      <c r="A69" t="s">
        <v>109</v>
      </c>
      <c r="B69" t="s">
        <v>110</v>
      </c>
      <c r="C69" t="s">
        <v>111</v>
      </c>
      <c r="D69" t="s">
        <v>20</v>
      </c>
      <c r="E69" t="s">
        <v>21</v>
      </c>
      <c r="F69" t="s">
        <v>118</v>
      </c>
      <c r="G69" t="s">
        <v>23</v>
      </c>
      <c r="H69" t="s">
        <v>54</v>
      </c>
      <c r="P69">
        <f>COUNTIFS(keyword_comparison[record_identifier],keyword_comparison[[#This Row],[record_identifier]],keyword_comparison[Review],"&lt;&gt;")</f>
        <v>0</v>
      </c>
      <c r="Q69" cm="1">
        <f t="array" ref="Q69">SUMPRODUCT((keyword_comparison[record_identifier]=keyword_comparison[[#This Row],[record_identifier]])*(LEN(keyword_comparison[keyword_matcher_output])&gt;0))</f>
        <v>1</v>
      </c>
    </row>
    <row r="70" spans="1:17" x14ac:dyDescent="0.25">
      <c r="A70" t="s">
        <v>109</v>
      </c>
      <c r="B70" t="s">
        <v>110</v>
      </c>
      <c r="C70" t="s">
        <v>111</v>
      </c>
      <c r="D70" t="s">
        <v>20</v>
      </c>
      <c r="E70" t="s">
        <v>21</v>
      </c>
      <c r="F70" t="s">
        <v>119</v>
      </c>
      <c r="G70" t="s">
        <v>23</v>
      </c>
      <c r="H70" t="s">
        <v>54</v>
      </c>
      <c r="P70">
        <f>COUNTIFS(keyword_comparison[record_identifier],keyword_comparison[[#This Row],[record_identifier]],keyword_comparison[Review],"&lt;&gt;")</f>
        <v>0</v>
      </c>
      <c r="Q70" cm="1">
        <f t="array" ref="Q70">SUMPRODUCT((keyword_comparison[record_identifier]=keyword_comparison[[#This Row],[record_identifier]])*(LEN(keyword_comparison[keyword_matcher_output])&gt;0))</f>
        <v>1</v>
      </c>
    </row>
    <row r="71" spans="1:17" x14ac:dyDescent="0.25">
      <c r="A71" t="s">
        <v>109</v>
      </c>
      <c r="B71" t="s">
        <v>110</v>
      </c>
      <c r="C71" t="s">
        <v>111</v>
      </c>
      <c r="D71" t="s">
        <v>20</v>
      </c>
      <c r="E71" t="s">
        <v>21</v>
      </c>
      <c r="F71" t="s">
        <v>120</v>
      </c>
      <c r="G71" t="s">
        <v>23</v>
      </c>
      <c r="H71" t="s">
        <v>54</v>
      </c>
      <c r="P71">
        <f>COUNTIFS(keyword_comparison[record_identifier],keyword_comparison[[#This Row],[record_identifier]],keyword_comparison[Review],"&lt;&gt;")</f>
        <v>0</v>
      </c>
      <c r="Q71" cm="1">
        <f t="array" ref="Q71">SUMPRODUCT((keyword_comparison[record_identifier]=keyword_comparison[[#This Row],[record_identifier]])*(LEN(keyword_comparison[keyword_matcher_output])&gt;0))</f>
        <v>1</v>
      </c>
    </row>
    <row r="72" spans="1:17" x14ac:dyDescent="0.25">
      <c r="A72" t="s">
        <v>109</v>
      </c>
      <c r="B72" t="s">
        <v>110</v>
      </c>
      <c r="C72" t="s">
        <v>111</v>
      </c>
      <c r="D72" t="s">
        <v>20</v>
      </c>
      <c r="E72" t="s">
        <v>21</v>
      </c>
      <c r="F72" t="s">
        <v>121</v>
      </c>
      <c r="G72" t="s">
        <v>23</v>
      </c>
      <c r="H72" t="s">
        <v>54</v>
      </c>
      <c r="P72">
        <f>COUNTIFS(keyword_comparison[record_identifier],keyword_comparison[[#This Row],[record_identifier]],keyword_comparison[Review],"&lt;&gt;")</f>
        <v>0</v>
      </c>
      <c r="Q72" cm="1">
        <f t="array" ref="Q72">SUMPRODUCT((keyword_comparison[record_identifier]=keyword_comparison[[#This Row],[record_identifier]])*(LEN(keyword_comparison[keyword_matcher_output])&gt;0))</f>
        <v>1</v>
      </c>
    </row>
    <row r="73" spans="1:17" x14ac:dyDescent="0.25">
      <c r="A73" t="s">
        <v>109</v>
      </c>
      <c r="B73" t="s">
        <v>110</v>
      </c>
      <c r="C73" t="s">
        <v>111</v>
      </c>
      <c r="D73" t="s">
        <v>20</v>
      </c>
      <c r="E73" t="s">
        <v>21</v>
      </c>
      <c r="F73" t="s">
        <v>122</v>
      </c>
      <c r="G73" t="s">
        <v>23</v>
      </c>
      <c r="H73" t="s">
        <v>54</v>
      </c>
      <c r="P73">
        <f>COUNTIFS(keyword_comparison[record_identifier],keyword_comparison[[#This Row],[record_identifier]],keyword_comparison[Review],"&lt;&gt;")</f>
        <v>0</v>
      </c>
      <c r="Q73" cm="1">
        <f t="array" ref="Q73">SUMPRODUCT((keyword_comparison[record_identifier]=keyword_comparison[[#This Row],[record_identifier]])*(LEN(keyword_comparison[keyword_matcher_output])&gt;0))</f>
        <v>1</v>
      </c>
    </row>
    <row r="74" spans="1:17" x14ac:dyDescent="0.25">
      <c r="A74" t="s">
        <v>109</v>
      </c>
      <c r="B74" t="s">
        <v>110</v>
      </c>
      <c r="C74" t="s">
        <v>111</v>
      </c>
      <c r="D74" t="s">
        <v>20</v>
      </c>
      <c r="E74" t="s">
        <v>21</v>
      </c>
      <c r="F74" t="s">
        <v>123</v>
      </c>
      <c r="G74" t="s">
        <v>23</v>
      </c>
      <c r="H74" t="s">
        <v>124</v>
      </c>
      <c r="P74">
        <f>COUNTIFS(keyword_comparison[record_identifier],keyword_comparison[[#This Row],[record_identifier]],keyword_comparison[Review],"&lt;&gt;")</f>
        <v>0</v>
      </c>
      <c r="Q74" cm="1">
        <f t="array" ref="Q74">SUMPRODUCT((keyword_comparison[record_identifier]=keyword_comparison[[#This Row],[record_identifier]])*(LEN(keyword_comparison[keyword_matcher_output])&gt;0))</f>
        <v>1</v>
      </c>
    </row>
    <row r="75" spans="1:17" x14ac:dyDescent="0.25">
      <c r="A75" t="s">
        <v>109</v>
      </c>
      <c r="B75" t="s">
        <v>110</v>
      </c>
      <c r="C75" t="s">
        <v>111</v>
      </c>
      <c r="D75" t="s">
        <v>20</v>
      </c>
      <c r="E75" t="s">
        <v>21</v>
      </c>
      <c r="F75" t="s">
        <v>125</v>
      </c>
      <c r="G75" t="s">
        <v>23</v>
      </c>
      <c r="H75" t="s">
        <v>54</v>
      </c>
      <c r="P75">
        <f>COUNTIFS(keyword_comparison[record_identifier],keyword_comparison[[#This Row],[record_identifier]],keyword_comparison[Review],"&lt;&gt;")</f>
        <v>0</v>
      </c>
      <c r="Q75" cm="1">
        <f t="array" ref="Q75">SUMPRODUCT((keyword_comparison[record_identifier]=keyword_comparison[[#This Row],[record_identifier]])*(LEN(keyword_comparison[keyword_matcher_output])&gt;0))</f>
        <v>1</v>
      </c>
    </row>
    <row r="76" spans="1:17" x14ac:dyDescent="0.25">
      <c r="A76" t="s">
        <v>109</v>
      </c>
      <c r="B76" t="s">
        <v>110</v>
      </c>
      <c r="C76" t="s">
        <v>111</v>
      </c>
      <c r="D76" t="s">
        <v>20</v>
      </c>
      <c r="E76" t="s">
        <v>21</v>
      </c>
      <c r="F76" t="s">
        <v>126</v>
      </c>
      <c r="G76" t="s">
        <v>23</v>
      </c>
      <c r="H76" t="s">
        <v>54</v>
      </c>
      <c r="P76">
        <f>COUNTIFS(keyword_comparison[record_identifier],keyword_comparison[[#This Row],[record_identifier]],keyword_comparison[Review],"&lt;&gt;")</f>
        <v>0</v>
      </c>
      <c r="Q76" cm="1">
        <f t="array" ref="Q76">SUMPRODUCT((keyword_comparison[record_identifier]=keyword_comparison[[#This Row],[record_identifier]])*(LEN(keyword_comparison[keyword_matcher_output])&gt;0))</f>
        <v>1</v>
      </c>
    </row>
    <row r="77" spans="1:17" x14ac:dyDescent="0.25">
      <c r="A77" t="s">
        <v>109</v>
      </c>
      <c r="B77" t="s">
        <v>110</v>
      </c>
      <c r="C77" t="s">
        <v>111</v>
      </c>
      <c r="D77" t="s">
        <v>20</v>
      </c>
      <c r="E77" t="s">
        <v>21</v>
      </c>
      <c r="F77" t="s">
        <v>69</v>
      </c>
      <c r="G77" t="s">
        <v>31</v>
      </c>
      <c r="H77" t="s">
        <v>54</v>
      </c>
      <c r="P77">
        <f>COUNTIFS(keyword_comparison[record_identifier],keyword_comparison[[#This Row],[record_identifier]],keyword_comparison[Review],"&lt;&gt;")</f>
        <v>0</v>
      </c>
      <c r="Q77" cm="1">
        <f t="array" ref="Q77">SUMPRODUCT((keyword_comparison[record_identifier]=keyword_comparison[[#This Row],[record_identifier]])*(LEN(keyword_comparison[keyword_matcher_output])&gt;0))</f>
        <v>1</v>
      </c>
    </row>
    <row r="78" spans="1:17" x14ac:dyDescent="0.25">
      <c r="A78" t="s">
        <v>109</v>
      </c>
      <c r="B78" t="s">
        <v>110</v>
      </c>
      <c r="C78" t="s">
        <v>111</v>
      </c>
      <c r="D78" t="s">
        <v>20</v>
      </c>
      <c r="E78" t="s">
        <v>21</v>
      </c>
      <c r="F78" t="s">
        <v>127</v>
      </c>
      <c r="G78" t="s">
        <v>31</v>
      </c>
      <c r="H78" t="s">
        <v>54</v>
      </c>
      <c r="P78">
        <f>COUNTIFS(keyword_comparison[record_identifier],keyword_comparison[[#This Row],[record_identifier]],keyword_comparison[Review],"&lt;&gt;")</f>
        <v>0</v>
      </c>
      <c r="Q78" cm="1">
        <f t="array" ref="Q78">SUMPRODUCT((keyword_comparison[record_identifier]=keyword_comparison[[#This Row],[record_identifier]])*(LEN(keyword_comparison[keyword_matcher_output])&gt;0))</f>
        <v>1</v>
      </c>
    </row>
    <row r="79" spans="1:17" x14ac:dyDescent="0.25">
      <c r="A79" t="s">
        <v>109</v>
      </c>
      <c r="B79" t="s">
        <v>110</v>
      </c>
      <c r="C79" t="s">
        <v>111</v>
      </c>
      <c r="D79" t="s">
        <v>20</v>
      </c>
      <c r="E79" t="s">
        <v>33</v>
      </c>
      <c r="H79" t="s">
        <v>54</v>
      </c>
      <c r="J79" t="s">
        <v>128</v>
      </c>
      <c r="K79" t="s">
        <v>129</v>
      </c>
      <c r="L79" t="b">
        <v>1</v>
      </c>
      <c r="M79">
        <v>0.40110000000000001</v>
      </c>
      <c r="N79">
        <v>1</v>
      </c>
      <c r="P79">
        <f>COUNTIFS(keyword_comparison[record_identifier],keyword_comparison[[#This Row],[record_identifier]],keyword_comparison[Review],"&lt;&gt;")</f>
        <v>0</v>
      </c>
      <c r="Q79" cm="1">
        <f t="array" ref="Q79">SUMPRODUCT((keyword_comparison[record_identifier]=keyword_comparison[[#This Row],[record_identifier]])*(LEN(keyword_comparison[keyword_matcher_output])&gt;0))</f>
        <v>1</v>
      </c>
    </row>
    <row r="80" spans="1:17" x14ac:dyDescent="0.25">
      <c r="A80" t="s">
        <v>109</v>
      </c>
      <c r="B80" t="s">
        <v>110</v>
      </c>
      <c r="C80" t="s">
        <v>111</v>
      </c>
      <c r="D80" t="s">
        <v>20</v>
      </c>
      <c r="E80" t="s">
        <v>33</v>
      </c>
      <c r="H80" t="s">
        <v>54</v>
      </c>
      <c r="J80" t="s">
        <v>130</v>
      </c>
      <c r="K80" t="s">
        <v>131</v>
      </c>
      <c r="M80">
        <v>8.1299999999999997E-2</v>
      </c>
      <c r="N80">
        <v>2</v>
      </c>
      <c r="P80">
        <f>COUNTIFS(keyword_comparison[record_identifier],keyword_comparison[[#This Row],[record_identifier]],keyword_comparison[Review],"&lt;&gt;")</f>
        <v>0</v>
      </c>
      <c r="Q80" cm="1">
        <f t="array" ref="Q80">SUMPRODUCT((keyword_comparison[record_identifier]=keyword_comparison[[#This Row],[record_identifier]])*(LEN(keyword_comparison[keyword_matcher_output])&gt;0))</f>
        <v>1</v>
      </c>
    </row>
    <row r="81" spans="1:17" x14ac:dyDescent="0.25">
      <c r="A81" t="s">
        <v>109</v>
      </c>
      <c r="B81" t="s">
        <v>110</v>
      </c>
      <c r="C81" t="s">
        <v>111</v>
      </c>
      <c r="D81" t="s">
        <v>20</v>
      </c>
      <c r="E81" t="s">
        <v>33</v>
      </c>
      <c r="H81" t="s">
        <v>54</v>
      </c>
      <c r="J81" t="s">
        <v>132</v>
      </c>
      <c r="K81" t="s">
        <v>133</v>
      </c>
      <c r="M81">
        <v>6.6299999999999998E-2</v>
      </c>
      <c r="N81">
        <v>3</v>
      </c>
      <c r="P81">
        <f>COUNTIFS(keyword_comparison[record_identifier],keyword_comparison[[#This Row],[record_identifier]],keyword_comparison[Review],"&lt;&gt;")</f>
        <v>0</v>
      </c>
      <c r="Q81" cm="1">
        <f t="array" ref="Q81">SUMPRODUCT((keyword_comparison[record_identifier]=keyword_comparison[[#This Row],[record_identifier]])*(LEN(keyword_comparison[keyword_matcher_output])&gt;0))</f>
        <v>1</v>
      </c>
    </row>
    <row r="82" spans="1:17" x14ac:dyDescent="0.25">
      <c r="A82" t="s">
        <v>109</v>
      </c>
      <c r="B82" t="s">
        <v>110</v>
      </c>
      <c r="C82" t="s">
        <v>111</v>
      </c>
      <c r="D82" t="s">
        <v>20</v>
      </c>
      <c r="E82" t="s">
        <v>33</v>
      </c>
      <c r="H82" t="s">
        <v>54</v>
      </c>
      <c r="J82" t="s">
        <v>134</v>
      </c>
      <c r="K82" t="s">
        <v>135</v>
      </c>
      <c r="M82">
        <v>5.11E-2</v>
      </c>
      <c r="N82">
        <v>4</v>
      </c>
      <c r="P82">
        <f>COUNTIFS(keyword_comparison[record_identifier],keyword_comparison[[#This Row],[record_identifier]],keyword_comparison[Review],"&lt;&gt;")</f>
        <v>0</v>
      </c>
      <c r="Q82" cm="1">
        <f t="array" ref="Q82">SUMPRODUCT((keyword_comparison[record_identifier]=keyword_comparison[[#This Row],[record_identifier]])*(LEN(keyword_comparison[keyword_matcher_output])&gt;0))</f>
        <v>1</v>
      </c>
    </row>
    <row r="83" spans="1:17" x14ac:dyDescent="0.25">
      <c r="A83" t="s">
        <v>109</v>
      </c>
      <c r="B83" t="s">
        <v>110</v>
      </c>
      <c r="C83" t="s">
        <v>111</v>
      </c>
      <c r="D83" t="s">
        <v>20</v>
      </c>
      <c r="E83" t="s">
        <v>53</v>
      </c>
      <c r="F83" t="s">
        <v>54</v>
      </c>
      <c r="G83" t="s">
        <v>54</v>
      </c>
      <c r="H83" t="s">
        <v>54</v>
      </c>
      <c r="J83" t="s">
        <v>136</v>
      </c>
      <c r="K83" t="s">
        <v>137</v>
      </c>
      <c r="O83">
        <v>2</v>
      </c>
      <c r="P83">
        <f>COUNTIFS(keyword_comparison[record_identifier],keyword_comparison[[#This Row],[record_identifier]],keyword_comparison[Review],"&lt;&gt;")</f>
        <v>0</v>
      </c>
      <c r="Q83" cm="1">
        <f t="array" ref="Q83">SUMPRODUCT((keyword_comparison[record_identifier]=keyword_comparison[[#This Row],[record_identifier]])*(LEN(keyword_comparison[keyword_matcher_output])&gt;0))</f>
        <v>1</v>
      </c>
    </row>
    <row r="84" spans="1:17" x14ac:dyDescent="0.25">
      <c r="A84" t="s">
        <v>109</v>
      </c>
      <c r="B84" t="s">
        <v>110</v>
      </c>
      <c r="C84" t="s">
        <v>111</v>
      </c>
      <c r="D84" t="s">
        <v>20</v>
      </c>
      <c r="E84" t="s">
        <v>53</v>
      </c>
      <c r="F84" t="s">
        <v>54</v>
      </c>
      <c r="G84" t="s">
        <v>54</v>
      </c>
      <c r="H84" t="s">
        <v>54</v>
      </c>
      <c r="J84" t="s">
        <v>138</v>
      </c>
      <c r="K84" t="s">
        <v>139</v>
      </c>
      <c r="O84">
        <v>23</v>
      </c>
      <c r="P84">
        <f>COUNTIFS(keyword_comparison[record_identifier],keyword_comparison[[#This Row],[record_identifier]],keyword_comparison[Review],"&lt;&gt;")</f>
        <v>0</v>
      </c>
      <c r="Q84" cm="1">
        <f t="array" ref="Q84">SUMPRODUCT((keyword_comparison[record_identifier]=keyword_comparison[[#This Row],[record_identifier]])*(LEN(keyword_comparison[keyword_matcher_output])&gt;0))</f>
        <v>1</v>
      </c>
    </row>
    <row r="85" spans="1:17" x14ac:dyDescent="0.25">
      <c r="A85" t="s">
        <v>109</v>
      </c>
      <c r="B85" t="s">
        <v>110</v>
      </c>
      <c r="C85" t="s">
        <v>111</v>
      </c>
      <c r="D85" t="s">
        <v>20</v>
      </c>
      <c r="E85" t="s">
        <v>53</v>
      </c>
      <c r="F85" t="s">
        <v>54</v>
      </c>
      <c r="G85" t="s">
        <v>54</v>
      </c>
      <c r="H85" t="s">
        <v>54</v>
      </c>
      <c r="J85" t="s">
        <v>140</v>
      </c>
      <c r="K85" t="s">
        <v>141</v>
      </c>
      <c r="O85">
        <v>24</v>
      </c>
      <c r="P85">
        <f>COUNTIFS(keyword_comparison[record_identifier],keyword_comparison[[#This Row],[record_identifier]],keyword_comparison[Review],"&lt;&gt;")</f>
        <v>0</v>
      </c>
      <c r="Q85" cm="1">
        <f t="array" ref="Q85">SUMPRODUCT((keyword_comparison[record_identifier]=keyword_comparison[[#This Row],[record_identifier]])*(LEN(keyword_comparison[keyword_matcher_output])&gt;0))</f>
        <v>1</v>
      </c>
    </row>
    <row r="86" spans="1:17" x14ac:dyDescent="0.25">
      <c r="A86" t="s">
        <v>109</v>
      </c>
      <c r="B86" t="s">
        <v>110</v>
      </c>
      <c r="C86" t="s">
        <v>111</v>
      </c>
      <c r="D86" t="s">
        <v>20</v>
      </c>
      <c r="E86" t="s">
        <v>53</v>
      </c>
      <c r="F86" t="s">
        <v>54</v>
      </c>
      <c r="G86" t="s">
        <v>54</v>
      </c>
      <c r="H86" t="s">
        <v>54</v>
      </c>
      <c r="J86" t="s">
        <v>142</v>
      </c>
      <c r="K86" t="s">
        <v>143</v>
      </c>
      <c r="O86">
        <v>25</v>
      </c>
      <c r="P86">
        <f>COUNTIFS(keyword_comparison[record_identifier],keyword_comparison[[#This Row],[record_identifier]],keyword_comparison[Review],"&lt;&gt;")</f>
        <v>0</v>
      </c>
      <c r="Q86" cm="1">
        <f t="array" ref="Q86">SUMPRODUCT((keyword_comparison[record_identifier]=keyword_comparison[[#This Row],[record_identifier]])*(LEN(keyword_comparison[keyword_matcher_output])&gt;0))</f>
        <v>1</v>
      </c>
    </row>
    <row r="87" spans="1:17" x14ac:dyDescent="0.25">
      <c r="A87" t="s">
        <v>109</v>
      </c>
      <c r="B87" t="s">
        <v>110</v>
      </c>
      <c r="C87" t="s">
        <v>111</v>
      </c>
      <c r="D87" t="s">
        <v>20</v>
      </c>
      <c r="E87" t="s">
        <v>53</v>
      </c>
      <c r="F87" t="s">
        <v>54</v>
      </c>
      <c r="G87" t="s">
        <v>54</v>
      </c>
      <c r="H87" t="s">
        <v>54</v>
      </c>
      <c r="J87" t="s">
        <v>144</v>
      </c>
      <c r="K87" t="s">
        <v>145</v>
      </c>
      <c r="O87">
        <v>26</v>
      </c>
      <c r="P87">
        <f>COUNTIFS(keyword_comparison[record_identifier],keyword_comparison[[#This Row],[record_identifier]],keyword_comparison[Review],"&lt;&gt;")</f>
        <v>0</v>
      </c>
      <c r="Q87" cm="1">
        <f t="array" ref="Q87">SUMPRODUCT((keyword_comparison[record_identifier]=keyword_comparison[[#This Row],[record_identifier]])*(LEN(keyword_comparison[keyword_matcher_output])&gt;0))</f>
        <v>1</v>
      </c>
    </row>
    <row r="88" spans="1:17" x14ac:dyDescent="0.25">
      <c r="A88" t="s">
        <v>109</v>
      </c>
      <c r="B88" t="s">
        <v>110</v>
      </c>
      <c r="C88" t="s">
        <v>111</v>
      </c>
      <c r="D88" t="s">
        <v>20</v>
      </c>
      <c r="E88" t="s">
        <v>53</v>
      </c>
      <c r="F88" t="s">
        <v>54</v>
      </c>
      <c r="G88" t="s">
        <v>54</v>
      </c>
      <c r="H88" t="s">
        <v>54</v>
      </c>
      <c r="J88" t="s">
        <v>146</v>
      </c>
      <c r="K88" t="s">
        <v>147</v>
      </c>
      <c r="O88">
        <v>27</v>
      </c>
      <c r="P88">
        <f>COUNTIFS(keyword_comparison[record_identifier],keyword_comparison[[#This Row],[record_identifier]],keyword_comparison[Review],"&lt;&gt;")</f>
        <v>0</v>
      </c>
      <c r="Q88" cm="1">
        <f t="array" ref="Q88">SUMPRODUCT((keyword_comparison[record_identifier]=keyword_comparison[[#This Row],[record_identifier]])*(LEN(keyword_comparison[keyword_matcher_output])&gt;0))</f>
        <v>1</v>
      </c>
    </row>
    <row r="89" spans="1:17" x14ac:dyDescent="0.25">
      <c r="A89" t="s">
        <v>109</v>
      </c>
      <c r="B89" t="s">
        <v>110</v>
      </c>
      <c r="C89" t="s">
        <v>111</v>
      </c>
      <c r="D89" t="s">
        <v>20</v>
      </c>
      <c r="E89" t="s">
        <v>53</v>
      </c>
      <c r="F89" t="s">
        <v>54</v>
      </c>
      <c r="G89" t="s">
        <v>54</v>
      </c>
      <c r="H89" t="s">
        <v>54</v>
      </c>
      <c r="J89" t="s">
        <v>148</v>
      </c>
      <c r="K89" t="s">
        <v>149</v>
      </c>
      <c r="O89">
        <v>28</v>
      </c>
      <c r="P89">
        <f>COUNTIFS(keyword_comparison[record_identifier],keyword_comparison[[#This Row],[record_identifier]],keyword_comparison[Review],"&lt;&gt;")</f>
        <v>0</v>
      </c>
      <c r="Q89" cm="1">
        <f t="array" ref="Q89">SUMPRODUCT((keyword_comparison[record_identifier]=keyword_comparison[[#This Row],[record_identifier]])*(LEN(keyword_comparison[keyword_matcher_output])&gt;0))</f>
        <v>1</v>
      </c>
    </row>
    <row r="90" spans="1:17" x14ac:dyDescent="0.25">
      <c r="A90" t="s">
        <v>109</v>
      </c>
      <c r="B90" t="s">
        <v>110</v>
      </c>
      <c r="C90" t="s">
        <v>111</v>
      </c>
      <c r="D90" t="s">
        <v>20</v>
      </c>
      <c r="E90" t="s">
        <v>53</v>
      </c>
      <c r="F90" t="s">
        <v>54</v>
      </c>
      <c r="G90" t="s">
        <v>54</v>
      </c>
      <c r="H90" t="s">
        <v>54</v>
      </c>
      <c r="J90" t="s">
        <v>150</v>
      </c>
      <c r="K90" t="s">
        <v>102</v>
      </c>
      <c r="O90">
        <v>67</v>
      </c>
      <c r="P90">
        <f>COUNTIFS(keyword_comparison[record_identifier],keyword_comparison[[#This Row],[record_identifier]],keyword_comparison[Review],"&lt;&gt;")</f>
        <v>0</v>
      </c>
      <c r="Q90" cm="1">
        <f t="array" ref="Q90">SUMPRODUCT((keyword_comparison[record_identifier]=keyword_comparison[[#This Row],[record_identifier]])*(LEN(keyword_comparison[keyword_matcher_output])&gt;0))</f>
        <v>1</v>
      </c>
    </row>
    <row r="91" spans="1:17" x14ac:dyDescent="0.25">
      <c r="A91" t="s">
        <v>151</v>
      </c>
      <c r="B91" t="s">
        <v>152</v>
      </c>
      <c r="C91" t="s">
        <v>153</v>
      </c>
      <c r="D91" t="s">
        <v>20</v>
      </c>
      <c r="E91" t="s">
        <v>21</v>
      </c>
      <c r="F91" t="s">
        <v>154</v>
      </c>
      <c r="G91" t="s">
        <v>23</v>
      </c>
      <c r="H91" t="s">
        <v>54</v>
      </c>
      <c r="P91">
        <f>COUNTIFS(keyword_comparison[record_identifier],keyword_comparison[[#This Row],[record_identifier]],keyword_comparison[Review],"&lt;&gt;")</f>
        <v>3</v>
      </c>
      <c r="Q91" cm="1">
        <f t="array" ref="Q91">SUMPRODUCT((keyword_comparison[record_identifier]=keyword_comparison[[#This Row],[record_identifier]])*(LEN(keyword_comparison[keyword_matcher_output])&gt;0))</f>
        <v>0</v>
      </c>
    </row>
    <row r="92" spans="1:17" x14ac:dyDescent="0.25">
      <c r="A92" t="s">
        <v>151</v>
      </c>
      <c r="B92" t="s">
        <v>152</v>
      </c>
      <c r="C92" t="s">
        <v>153</v>
      </c>
      <c r="D92" t="s">
        <v>20</v>
      </c>
      <c r="E92" t="s">
        <v>21</v>
      </c>
      <c r="F92" t="s">
        <v>155</v>
      </c>
      <c r="G92" t="s">
        <v>23</v>
      </c>
      <c r="H92" t="s">
        <v>54</v>
      </c>
      <c r="P92">
        <f>COUNTIFS(keyword_comparison[record_identifier],keyword_comparison[[#This Row],[record_identifier]],keyword_comparison[Review],"&lt;&gt;")</f>
        <v>3</v>
      </c>
      <c r="Q92" cm="1">
        <f t="array" ref="Q92">SUMPRODUCT((keyword_comparison[record_identifier]=keyword_comparison[[#This Row],[record_identifier]])*(LEN(keyword_comparison[keyword_matcher_output])&gt;0))</f>
        <v>0</v>
      </c>
    </row>
    <row r="93" spans="1:17" x14ac:dyDescent="0.25">
      <c r="A93" t="s">
        <v>151</v>
      </c>
      <c r="B93" t="s">
        <v>152</v>
      </c>
      <c r="C93" t="s">
        <v>153</v>
      </c>
      <c r="D93" t="s">
        <v>20</v>
      </c>
      <c r="E93" t="s">
        <v>21</v>
      </c>
      <c r="F93" t="s">
        <v>156</v>
      </c>
      <c r="G93" t="s">
        <v>23</v>
      </c>
      <c r="H93" t="s">
        <v>54</v>
      </c>
      <c r="P93">
        <f>COUNTIFS(keyword_comparison[record_identifier],keyword_comparison[[#This Row],[record_identifier]],keyword_comparison[Review],"&lt;&gt;")</f>
        <v>3</v>
      </c>
      <c r="Q93" cm="1">
        <f t="array" ref="Q93">SUMPRODUCT((keyword_comparison[record_identifier]=keyword_comparison[[#This Row],[record_identifier]])*(LEN(keyword_comparison[keyword_matcher_output])&gt;0))</f>
        <v>0</v>
      </c>
    </row>
    <row r="94" spans="1:17" x14ac:dyDescent="0.25">
      <c r="A94" t="s">
        <v>151</v>
      </c>
      <c r="B94" t="s">
        <v>152</v>
      </c>
      <c r="C94" t="s">
        <v>153</v>
      </c>
      <c r="D94" t="s">
        <v>20</v>
      </c>
      <c r="E94" t="s">
        <v>21</v>
      </c>
      <c r="F94" t="s">
        <v>157</v>
      </c>
      <c r="G94" t="s">
        <v>23</v>
      </c>
      <c r="H94" t="s">
        <v>54</v>
      </c>
      <c r="P94">
        <f>COUNTIFS(keyword_comparison[record_identifier],keyword_comparison[[#This Row],[record_identifier]],keyword_comparison[Review],"&lt;&gt;")</f>
        <v>3</v>
      </c>
      <c r="Q94" cm="1">
        <f t="array" ref="Q94">SUMPRODUCT((keyword_comparison[record_identifier]=keyword_comparison[[#This Row],[record_identifier]])*(LEN(keyword_comparison[keyword_matcher_output])&gt;0))</f>
        <v>0</v>
      </c>
    </row>
    <row r="95" spans="1:17" x14ac:dyDescent="0.25">
      <c r="A95" t="s">
        <v>151</v>
      </c>
      <c r="B95" t="s">
        <v>152</v>
      </c>
      <c r="C95" t="s">
        <v>153</v>
      </c>
      <c r="D95" t="s">
        <v>20</v>
      </c>
      <c r="E95" t="s">
        <v>21</v>
      </c>
      <c r="F95" t="s">
        <v>158</v>
      </c>
      <c r="G95" t="s">
        <v>31</v>
      </c>
      <c r="H95" t="s">
        <v>54</v>
      </c>
      <c r="P95">
        <f>COUNTIFS(keyword_comparison[record_identifier],keyword_comparison[[#This Row],[record_identifier]],keyword_comparison[Review],"&lt;&gt;")</f>
        <v>3</v>
      </c>
      <c r="Q95" cm="1">
        <f t="array" ref="Q95">SUMPRODUCT((keyword_comparison[record_identifier]=keyword_comparison[[#This Row],[record_identifier]])*(LEN(keyword_comparison[keyword_matcher_output])&gt;0))</f>
        <v>0</v>
      </c>
    </row>
    <row r="96" spans="1:17" x14ac:dyDescent="0.25">
      <c r="A96" t="s">
        <v>151</v>
      </c>
      <c r="B96" t="s">
        <v>152</v>
      </c>
      <c r="C96" t="s">
        <v>153</v>
      </c>
      <c r="D96" t="s">
        <v>20</v>
      </c>
      <c r="E96" t="s">
        <v>21</v>
      </c>
      <c r="F96" t="s">
        <v>159</v>
      </c>
      <c r="G96" t="s">
        <v>31</v>
      </c>
      <c r="H96" t="s">
        <v>54</v>
      </c>
      <c r="P96">
        <f>COUNTIFS(keyword_comparison[record_identifier],keyword_comparison[[#This Row],[record_identifier]],keyword_comparison[Review],"&lt;&gt;")</f>
        <v>3</v>
      </c>
      <c r="Q96" cm="1">
        <f t="array" ref="Q96">SUMPRODUCT((keyword_comparison[record_identifier]=keyword_comparison[[#This Row],[record_identifier]])*(LEN(keyword_comparison[keyword_matcher_output])&gt;0))</f>
        <v>0</v>
      </c>
    </row>
    <row r="97" spans="1:17" x14ac:dyDescent="0.25">
      <c r="A97" t="s">
        <v>151</v>
      </c>
      <c r="B97" t="s">
        <v>152</v>
      </c>
      <c r="C97" t="s">
        <v>153</v>
      </c>
      <c r="D97" t="s">
        <v>20</v>
      </c>
      <c r="E97" t="s">
        <v>21</v>
      </c>
      <c r="F97" t="s">
        <v>160</v>
      </c>
      <c r="G97" t="s">
        <v>31</v>
      </c>
      <c r="H97" t="s">
        <v>54</v>
      </c>
      <c r="P97">
        <f>COUNTIFS(keyword_comparison[record_identifier],keyword_comparison[[#This Row],[record_identifier]],keyword_comparison[Review],"&lt;&gt;")</f>
        <v>3</v>
      </c>
      <c r="Q97" cm="1">
        <f t="array" ref="Q97">SUMPRODUCT((keyword_comparison[record_identifier]=keyword_comparison[[#This Row],[record_identifier]])*(LEN(keyword_comparison[keyword_matcher_output])&gt;0))</f>
        <v>0</v>
      </c>
    </row>
    <row r="98" spans="1:17" x14ac:dyDescent="0.25">
      <c r="A98" t="s">
        <v>151</v>
      </c>
      <c r="B98" t="s">
        <v>152</v>
      </c>
      <c r="C98" t="s">
        <v>153</v>
      </c>
      <c r="D98" t="s">
        <v>20</v>
      </c>
      <c r="E98" t="s">
        <v>21</v>
      </c>
      <c r="F98" t="s">
        <v>161</v>
      </c>
      <c r="G98" t="s">
        <v>23</v>
      </c>
      <c r="H98" t="s">
        <v>54</v>
      </c>
      <c r="P98">
        <f>COUNTIFS(keyword_comparison[record_identifier],keyword_comparison[[#This Row],[record_identifier]],keyword_comparison[Review],"&lt;&gt;")</f>
        <v>3</v>
      </c>
      <c r="Q98" cm="1">
        <f t="array" ref="Q98">SUMPRODUCT((keyword_comparison[record_identifier]=keyword_comparison[[#This Row],[record_identifier]])*(LEN(keyword_comparison[keyword_matcher_output])&gt;0))</f>
        <v>0</v>
      </c>
    </row>
    <row r="99" spans="1:17" x14ac:dyDescent="0.25">
      <c r="A99" t="s">
        <v>151</v>
      </c>
      <c r="B99" t="s">
        <v>152</v>
      </c>
      <c r="C99" t="s">
        <v>153</v>
      </c>
      <c r="D99" t="s">
        <v>20</v>
      </c>
      <c r="E99" t="s">
        <v>21</v>
      </c>
      <c r="F99" t="s">
        <v>162</v>
      </c>
      <c r="G99" t="s">
        <v>23</v>
      </c>
      <c r="H99" t="s">
        <v>54</v>
      </c>
      <c r="P99">
        <f>COUNTIFS(keyword_comparison[record_identifier],keyword_comparison[[#This Row],[record_identifier]],keyword_comparison[Review],"&lt;&gt;")</f>
        <v>3</v>
      </c>
      <c r="Q99" cm="1">
        <f t="array" ref="Q99">SUMPRODUCT((keyword_comparison[record_identifier]=keyword_comparison[[#This Row],[record_identifier]])*(LEN(keyword_comparison[keyword_matcher_output])&gt;0))</f>
        <v>0</v>
      </c>
    </row>
    <row r="100" spans="1:17" x14ac:dyDescent="0.25">
      <c r="A100" t="s">
        <v>151</v>
      </c>
      <c r="B100" t="s">
        <v>152</v>
      </c>
      <c r="C100" t="s">
        <v>153</v>
      </c>
      <c r="D100" t="s">
        <v>20</v>
      </c>
      <c r="E100" t="s">
        <v>21</v>
      </c>
      <c r="F100" t="s">
        <v>163</v>
      </c>
      <c r="G100" t="s">
        <v>23</v>
      </c>
      <c r="H100" t="s">
        <v>54</v>
      </c>
      <c r="P100">
        <f>COUNTIFS(keyword_comparison[record_identifier],keyword_comparison[[#This Row],[record_identifier]],keyword_comparison[Review],"&lt;&gt;")</f>
        <v>3</v>
      </c>
      <c r="Q100" cm="1">
        <f t="array" ref="Q100">SUMPRODUCT((keyword_comparison[record_identifier]=keyword_comparison[[#This Row],[record_identifier]])*(LEN(keyword_comparison[keyword_matcher_output])&gt;0))</f>
        <v>0</v>
      </c>
    </row>
    <row r="101" spans="1:17" x14ac:dyDescent="0.25">
      <c r="A101" t="s">
        <v>151</v>
      </c>
      <c r="B101" t="s">
        <v>152</v>
      </c>
      <c r="C101" t="s">
        <v>153</v>
      </c>
      <c r="D101" t="s">
        <v>20</v>
      </c>
      <c r="E101" t="s">
        <v>21</v>
      </c>
      <c r="F101" t="s">
        <v>112</v>
      </c>
      <c r="G101" t="s">
        <v>23</v>
      </c>
      <c r="H101" t="s">
        <v>54</v>
      </c>
      <c r="P101">
        <f>COUNTIFS(keyword_comparison[record_identifier],keyword_comparison[[#This Row],[record_identifier]],keyword_comparison[Review],"&lt;&gt;")</f>
        <v>3</v>
      </c>
      <c r="Q101" cm="1">
        <f t="array" ref="Q101">SUMPRODUCT((keyword_comparison[record_identifier]=keyword_comparison[[#This Row],[record_identifier]])*(LEN(keyword_comparison[keyword_matcher_output])&gt;0))</f>
        <v>0</v>
      </c>
    </row>
    <row r="102" spans="1:17" x14ac:dyDescent="0.25">
      <c r="A102" t="s">
        <v>151</v>
      </c>
      <c r="B102" t="s">
        <v>152</v>
      </c>
      <c r="C102" t="s">
        <v>153</v>
      </c>
      <c r="D102" t="s">
        <v>20</v>
      </c>
      <c r="E102" t="s">
        <v>21</v>
      </c>
      <c r="F102" t="s">
        <v>164</v>
      </c>
      <c r="G102" t="s">
        <v>23</v>
      </c>
      <c r="H102" t="s">
        <v>54</v>
      </c>
      <c r="P102">
        <f>COUNTIFS(keyword_comparison[record_identifier],keyword_comparison[[#This Row],[record_identifier]],keyword_comparison[Review],"&lt;&gt;")</f>
        <v>3</v>
      </c>
      <c r="Q102" cm="1">
        <f t="array" ref="Q102">SUMPRODUCT((keyword_comparison[record_identifier]=keyword_comparison[[#This Row],[record_identifier]])*(LEN(keyword_comparison[keyword_matcher_output])&gt;0))</f>
        <v>0</v>
      </c>
    </row>
    <row r="103" spans="1:17" x14ac:dyDescent="0.25">
      <c r="A103" t="s">
        <v>151</v>
      </c>
      <c r="B103" t="s">
        <v>152</v>
      </c>
      <c r="C103" t="s">
        <v>153</v>
      </c>
      <c r="D103" t="s">
        <v>20</v>
      </c>
      <c r="E103" t="s">
        <v>21</v>
      </c>
      <c r="F103" t="s">
        <v>165</v>
      </c>
      <c r="G103" t="s">
        <v>23</v>
      </c>
      <c r="H103" t="s">
        <v>54</v>
      </c>
      <c r="P103">
        <f>COUNTIFS(keyword_comparison[record_identifier],keyword_comparison[[#This Row],[record_identifier]],keyword_comparison[Review],"&lt;&gt;")</f>
        <v>3</v>
      </c>
      <c r="Q103" cm="1">
        <f t="array" ref="Q103">SUMPRODUCT((keyword_comparison[record_identifier]=keyword_comparison[[#This Row],[record_identifier]])*(LEN(keyword_comparison[keyword_matcher_output])&gt;0))</f>
        <v>0</v>
      </c>
    </row>
    <row r="104" spans="1:17" x14ac:dyDescent="0.25">
      <c r="A104" t="s">
        <v>151</v>
      </c>
      <c r="B104" t="s">
        <v>152</v>
      </c>
      <c r="C104" t="s">
        <v>153</v>
      </c>
      <c r="D104" t="s">
        <v>20</v>
      </c>
      <c r="E104" t="s">
        <v>21</v>
      </c>
      <c r="F104" t="s">
        <v>166</v>
      </c>
      <c r="G104" t="s">
        <v>23</v>
      </c>
      <c r="H104" t="s">
        <v>54</v>
      </c>
      <c r="P104">
        <f>COUNTIFS(keyword_comparison[record_identifier],keyword_comparison[[#This Row],[record_identifier]],keyword_comparison[Review],"&lt;&gt;")</f>
        <v>3</v>
      </c>
      <c r="Q104" cm="1">
        <f t="array" ref="Q104">SUMPRODUCT((keyword_comparison[record_identifier]=keyword_comparison[[#This Row],[record_identifier]])*(LEN(keyword_comparison[keyword_matcher_output])&gt;0))</f>
        <v>0</v>
      </c>
    </row>
    <row r="105" spans="1:17" x14ac:dyDescent="0.25">
      <c r="A105" t="s">
        <v>151</v>
      </c>
      <c r="B105" t="s">
        <v>152</v>
      </c>
      <c r="C105" t="s">
        <v>153</v>
      </c>
      <c r="D105" t="s">
        <v>20</v>
      </c>
      <c r="E105" t="s">
        <v>21</v>
      </c>
      <c r="F105" t="s">
        <v>167</v>
      </c>
      <c r="G105" t="s">
        <v>23</v>
      </c>
      <c r="H105" t="s">
        <v>54</v>
      </c>
      <c r="P105">
        <f>COUNTIFS(keyword_comparison[record_identifier],keyword_comparison[[#This Row],[record_identifier]],keyword_comparison[Review],"&lt;&gt;")</f>
        <v>3</v>
      </c>
      <c r="Q105" cm="1">
        <f t="array" ref="Q105">SUMPRODUCT((keyword_comparison[record_identifier]=keyword_comparison[[#This Row],[record_identifier]])*(LEN(keyword_comparison[keyword_matcher_output])&gt;0))</f>
        <v>0</v>
      </c>
    </row>
    <row r="106" spans="1:17" x14ac:dyDescent="0.25">
      <c r="A106" t="s">
        <v>151</v>
      </c>
      <c r="B106" t="s">
        <v>152</v>
      </c>
      <c r="C106" t="s">
        <v>153</v>
      </c>
      <c r="D106" t="s">
        <v>20</v>
      </c>
      <c r="E106" t="s">
        <v>33</v>
      </c>
      <c r="H106" t="s">
        <v>54</v>
      </c>
      <c r="I106" t="s">
        <v>88</v>
      </c>
      <c r="J106" t="s">
        <v>168</v>
      </c>
      <c r="K106" t="s">
        <v>169</v>
      </c>
      <c r="M106">
        <v>7.6200000000000004E-2</v>
      </c>
      <c r="N106">
        <v>1</v>
      </c>
      <c r="P106">
        <f>COUNTIFS(keyword_comparison[record_identifier],keyword_comparison[[#This Row],[record_identifier]],keyword_comparison[Review],"&lt;&gt;")</f>
        <v>3</v>
      </c>
      <c r="Q106" cm="1">
        <f t="array" ref="Q106">SUMPRODUCT((keyword_comparison[record_identifier]=keyword_comparison[[#This Row],[record_identifier]])*(LEN(keyword_comparison[keyword_matcher_output])&gt;0))</f>
        <v>0</v>
      </c>
    </row>
    <row r="107" spans="1:17" x14ac:dyDescent="0.25">
      <c r="A107" t="s">
        <v>151</v>
      </c>
      <c r="B107" t="s">
        <v>152</v>
      </c>
      <c r="C107" t="s">
        <v>153</v>
      </c>
      <c r="D107" t="s">
        <v>20</v>
      </c>
      <c r="E107" t="s">
        <v>53</v>
      </c>
      <c r="F107" t="s">
        <v>54</v>
      </c>
      <c r="G107" t="s">
        <v>54</v>
      </c>
      <c r="H107" t="s">
        <v>54</v>
      </c>
      <c r="I107" t="s">
        <v>80</v>
      </c>
      <c r="J107" t="s">
        <v>98</v>
      </c>
      <c r="K107" t="s">
        <v>93</v>
      </c>
      <c r="O107">
        <v>1</v>
      </c>
      <c r="P107">
        <f>COUNTIFS(keyword_comparison[record_identifier],keyword_comparison[[#This Row],[record_identifier]],keyword_comparison[Review],"&lt;&gt;")</f>
        <v>3</v>
      </c>
      <c r="Q107" cm="1">
        <f t="array" ref="Q107">SUMPRODUCT((keyword_comparison[record_identifier]=keyword_comparison[[#This Row],[record_identifier]])*(LEN(keyword_comparison[keyword_matcher_output])&gt;0))</f>
        <v>0</v>
      </c>
    </row>
    <row r="108" spans="1:17" x14ac:dyDescent="0.25">
      <c r="A108" t="s">
        <v>151</v>
      </c>
      <c r="B108" t="s">
        <v>152</v>
      </c>
      <c r="C108" t="s">
        <v>153</v>
      </c>
      <c r="D108" t="s">
        <v>20</v>
      </c>
      <c r="E108" t="s">
        <v>53</v>
      </c>
      <c r="F108" t="s">
        <v>54</v>
      </c>
      <c r="G108" t="s">
        <v>54</v>
      </c>
      <c r="H108" t="s">
        <v>54</v>
      </c>
      <c r="I108" t="s">
        <v>80</v>
      </c>
      <c r="J108" t="s">
        <v>98</v>
      </c>
      <c r="K108" t="s">
        <v>92</v>
      </c>
      <c r="O108">
        <v>1</v>
      </c>
      <c r="P108">
        <f>COUNTIFS(keyword_comparison[record_identifier],keyword_comparison[[#This Row],[record_identifier]],keyword_comparison[Review],"&lt;&gt;")</f>
        <v>3</v>
      </c>
      <c r="Q108" cm="1">
        <f t="array" ref="Q108">SUMPRODUCT((keyword_comparison[record_identifier]=keyword_comparison[[#This Row],[record_identifier]])*(LEN(keyword_comparison[keyword_matcher_output])&gt;0))</f>
        <v>0</v>
      </c>
    </row>
    <row r="109" spans="1:17" x14ac:dyDescent="0.25">
      <c r="A109" t="s">
        <v>170</v>
      </c>
      <c r="B109" t="s">
        <v>171</v>
      </c>
      <c r="C109" t="s">
        <v>172</v>
      </c>
      <c r="D109" t="s">
        <v>20</v>
      </c>
      <c r="E109" t="s">
        <v>21</v>
      </c>
      <c r="F109" t="s">
        <v>67</v>
      </c>
      <c r="G109" t="s">
        <v>23</v>
      </c>
      <c r="H109" t="s">
        <v>54</v>
      </c>
      <c r="P109">
        <f>COUNTIFS(keyword_comparison[record_identifier],keyword_comparison[[#This Row],[record_identifier]],keyword_comparison[Review],"&lt;&gt;")</f>
        <v>0</v>
      </c>
      <c r="Q109" cm="1">
        <f t="array" ref="Q109">SUMPRODUCT((keyword_comparison[record_identifier]=keyword_comparison[[#This Row],[record_identifier]])*(LEN(keyword_comparison[keyword_matcher_output])&gt;0))</f>
        <v>1</v>
      </c>
    </row>
    <row r="110" spans="1:17" x14ac:dyDescent="0.25">
      <c r="A110" t="s">
        <v>170</v>
      </c>
      <c r="B110" t="s">
        <v>171</v>
      </c>
      <c r="C110" t="s">
        <v>172</v>
      </c>
      <c r="D110" t="s">
        <v>20</v>
      </c>
      <c r="E110" t="s">
        <v>21</v>
      </c>
      <c r="F110" t="s">
        <v>173</v>
      </c>
      <c r="G110" t="s">
        <v>23</v>
      </c>
      <c r="H110" t="s">
        <v>174</v>
      </c>
      <c r="P110">
        <f>COUNTIFS(keyword_comparison[record_identifier],keyword_comparison[[#This Row],[record_identifier]],keyword_comparison[Review],"&lt;&gt;")</f>
        <v>0</v>
      </c>
      <c r="Q110" cm="1">
        <f t="array" ref="Q110">SUMPRODUCT((keyword_comparison[record_identifier]=keyword_comparison[[#This Row],[record_identifier]])*(LEN(keyword_comparison[keyword_matcher_output])&gt;0))</f>
        <v>1</v>
      </c>
    </row>
    <row r="111" spans="1:17" x14ac:dyDescent="0.25">
      <c r="A111" t="s">
        <v>170</v>
      </c>
      <c r="B111" t="s">
        <v>171</v>
      </c>
      <c r="C111" t="s">
        <v>172</v>
      </c>
      <c r="D111" t="s">
        <v>20</v>
      </c>
      <c r="E111" t="s">
        <v>21</v>
      </c>
      <c r="F111" t="s">
        <v>175</v>
      </c>
      <c r="G111" t="s">
        <v>23</v>
      </c>
      <c r="H111" t="s">
        <v>54</v>
      </c>
      <c r="P111">
        <f>COUNTIFS(keyword_comparison[record_identifier],keyword_comparison[[#This Row],[record_identifier]],keyword_comparison[Review],"&lt;&gt;")</f>
        <v>0</v>
      </c>
      <c r="Q111" cm="1">
        <f t="array" ref="Q111">SUMPRODUCT((keyword_comparison[record_identifier]=keyword_comparison[[#This Row],[record_identifier]])*(LEN(keyword_comparison[keyword_matcher_output])&gt;0))</f>
        <v>1</v>
      </c>
    </row>
    <row r="112" spans="1:17" x14ac:dyDescent="0.25">
      <c r="A112" t="s">
        <v>170</v>
      </c>
      <c r="B112" t="s">
        <v>171</v>
      </c>
      <c r="C112" t="s">
        <v>172</v>
      </c>
      <c r="D112" t="s">
        <v>20</v>
      </c>
      <c r="E112" t="s">
        <v>21</v>
      </c>
      <c r="F112" t="s">
        <v>176</v>
      </c>
      <c r="G112" t="s">
        <v>23</v>
      </c>
      <c r="H112" t="s">
        <v>54</v>
      </c>
      <c r="P112">
        <f>COUNTIFS(keyword_comparison[record_identifier],keyword_comparison[[#This Row],[record_identifier]],keyword_comparison[Review],"&lt;&gt;")</f>
        <v>0</v>
      </c>
      <c r="Q112" cm="1">
        <f t="array" ref="Q112">SUMPRODUCT((keyword_comparison[record_identifier]=keyword_comparison[[#This Row],[record_identifier]])*(LEN(keyword_comparison[keyword_matcher_output])&gt;0))</f>
        <v>1</v>
      </c>
    </row>
    <row r="113" spans="1:17" x14ac:dyDescent="0.25">
      <c r="A113" t="s">
        <v>170</v>
      </c>
      <c r="B113" t="s">
        <v>171</v>
      </c>
      <c r="C113" t="s">
        <v>172</v>
      </c>
      <c r="D113" t="s">
        <v>20</v>
      </c>
      <c r="E113" t="s">
        <v>21</v>
      </c>
      <c r="F113" t="s">
        <v>177</v>
      </c>
      <c r="G113" t="s">
        <v>23</v>
      </c>
      <c r="H113" t="s">
        <v>54</v>
      </c>
      <c r="P113">
        <f>COUNTIFS(keyword_comparison[record_identifier],keyword_comparison[[#This Row],[record_identifier]],keyword_comparison[Review],"&lt;&gt;")</f>
        <v>0</v>
      </c>
      <c r="Q113" cm="1">
        <f t="array" ref="Q113">SUMPRODUCT((keyword_comparison[record_identifier]=keyword_comparison[[#This Row],[record_identifier]])*(LEN(keyword_comparison[keyword_matcher_output])&gt;0))</f>
        <v>1</v>
      </c>
    </row>
    <row r="114" spans="1:17" x14ac:dyDescent="0.25">
      <c r="A114" t="s">
        <v>170</v>
      </c>
      <c r="B114" t="s">
        <v>171</v>
      </c>
      <c r="C114" t="s">
        <v>172</v>
      </c>
      <c r="D114" t="s">
        <v>20</v>
      </c>
      <c r="E114" t="s">
        <v>21</v>
      </c>
      <c r="F114" t="s">
        <v>178</v>
      </c>
      <c r="G114" t="s">
        <v>23</v>
      </c>
      <c r="H114" t="s">
        <v>54</v>
      </c>
      <c r="P114">
        <f>COUNTIFS(keyword_comparison[record_identifier],keyword_comparison[[#This Row],[record_identifier]],keyword_comparison[Review],"&lt;&gt;")</f>
        <v>0</v>
      </c>
      <c r="Q114" cm="1">
        <f t="array" ref="Q114">SUMPRODUCT((keyword_comparison[record_identifier]=keyword_comparison[[#This Row],[record_identifier]])*(LEN(keyword_comparison[keyword_matcher_output])&gt;0))</f>
        <v>1</v>
      </c>
    </row>
    <row r="115" spans="1:17" x14ac:dyDescent="0.25">
      <c r="A115" t="s">
        <v>170</v>
      </c>
      <c r="B115" t="s">
        <v>171</v>
      </c>
      <c r="C115" t="s">
        <v>172</v>
      </c>
      <c r="D115" t="s">
        <v>20</v>
      </c>
      <c r="E115" t="s">
        <v>21</v>
      </c>
      <c r="F115" t="s">
        <v>179</v>
      </c>
      <c r="G115" t="s">
        <v>23</v>
      </c>
      <c r="H115" t="s">
        <v>54</v>
      </c>
      <c r="P115">
        <f>COUNTIFS(keyword_comparison[record_identifier],keyword_comparison[[#This Row],[record_identifier]],keyword_comparison[Review],"&lt;&gt;")</f>
        <v>0</v>
      </c>
      <c r="Q115" cm="1">
        <f t="array" ref="Q115">SUMPRODUCT((keyword_comparison[record_identifier]=keyword_comparison[[#This Row],[record_identifier]])*(LEN(keyword_comparison[keyword_matcher_output])&gt;0))</f>
        <v>1</v>
      </c>
    </row>
    <row r="116" spans="1:17" x14ac:dyDescent="0.25">
      <c r="A116" t="s">
        <v>170</v>
      </c>
      <c r="B116" t="s">
        <v>171</v>
      </c>
      <c r="C116" t="s">
        <v>172</v>
      </c>
      <c r="D116" t="s">
        <v>20</v>
      </c>
      <c r="E116" t="s">
        <v>21</v>
      </c>
      <c r="F116" t="s">
        <v>32</v>
      </c>
      <c r="G116" t="s">
        <v>31</v>
      </c>
      <c r="H116" t="s">
        <v>54</v>
      </c>
      <c r="P116">
        <f>COUNTIFS(keyword_comparison[record_identifier],keyword_comparison[[#This Row],[record_identifier]],keyword_comparison[Review],"&lt;&gt;")</f>
        <v>0</v>
      </c>
      <c r="Q116" cm="1">
        <f t="array" ref="Q116">SUMPRODUCT((keyword_comparison[record_identifier]=keyword_comparison[[#This Row],[record_identifier]])*(LEN(keyword_comparison[keyword_matcher_output])&gt;0))</f>
        <v>1</v>
      </c>
    </row>
    <row r="117" spans="1:17" x14ac:dyDescent="0.25">
      <c r="A117" t="s">
        <v>170</v>
      </c>
      <c r="B117" t="s">
        <v>171</v>
      </c>
      <c r="C117" t="s">
        <v>172</v>
      </c>
      <c r="D117" t="s">
        <v>20</v>
      </c>
      <c r="E117" t="s">
        <v>21</v>
      </c>
      <c r="F117" t="s">
        <v>30</v>
      </c>
      <c r="G117" t="s">
        <v>31</v>
      </c>
      <c r="H117" t="s">
        <v>54</v>
      </c>
      <c r="P117">
        <f>COUNTIFS(keyword_comparison[record_identifier],keyword_comparison[[#This Row],[record_identifier]],keyword_comparison[Review],"&lt;&gt;")</f>
        <v>0</v>
      </c>
      <c r="Q117" cm="1">
        <f t="array" ref="Q117">SUMPRODUCT((keyword_comparison[record_identifier]=keyword_comparison[[#This Row],[record_identifier]])*(LEN(keyword_comparison[keyword_matcher_output])&gt;0))</f>
        <v>1</v>
      </c>
    </row>
    <row r="118" spans="1:17" x14ac:dyDescent="0.25">
      <c r="A118" t="s">
        <v>170</v>
      </c>
      <c r="B118" t="s">
        <v>171</v>
      </c>
      <c r="C118" t="s">
        <v>172</v>
      </c>
      <c r="D118" t="s">
        <v>20</v>
      </c>
      <c r="E118" t="s">
        <v>33</v>
      </c>
      <c r="H118" t="s">
        <v>54</v>
      </c>
      <c r="J118" t="s">
        <v>180</v>
      </c>
      <c r="K118" t="s">
        <v>181</v>
      </c>
      <c r="M118">
        <v>0.37040000000000001</v>
      </c>
      <c r="N118">
        <v>1</v>
      </c>
      <c r="P118">
        <f>COUNTIFS(keyword_comparison[record_identifier],keyword_comparison[[#This Row],[record_identifier]],keyword_comparison[Review],"&lt;&gt;")</f>
        <v>0</v>
      </c>
      <c r="Q118" cm="1">
        <f t="array" ref="Q118">SUMPRODUCT((keyword_comparison[record_identifier]=keyword_comparison[[#This Row],[record_identifier]])*(LEN(keyword_comparison[keyword_matcher_output])&gt;0))</f>
        <v>1</v>
      </c>
    </row>
    <row r="119" spans="1:17" x14ac:dyDescent="0.25">
      <c r="A119" t="s">
        <v>170</v>
      </c>
      <c r="B119" t="s">
        <v>171</v>
      </c>
      <c r="C119" t="s">
        <v>172</v>
      </c>
      <c r="D119" t="s">
        <v>20</v>
      </c>
      <c r="E119" t="s">
        <v>33</v>
      </c>
      <c r="H119" t="s">
        <v>54</v>
      </c>
      <c r="J119" t="s">
        <v>182</v>
      </c>
      <c r="K119" t="s">
        <v>183</v>
      </c>
      <c r="M119">
        <v>0.3231</v>
      </c>
      <c r="N119">
        <v>2</v>
      </c>
      <c r="P119">
        <f>COUNTIFS(keyword_comparison[record_identifier],keyword_comparison[[#This Row],[record_identifier]],keyword_comparison[Review],"&lt;&gt;")</f>
        <v>0</v>
      </c>
      <c r="Q119" cm="1">
        <f t="array" ref="Q119">SUMPRODUCT((keyword_comparison[record_identifier]=keyword_comparison[[#This Row],[record_identifier]])*(LEN(keyword_comparison[keyword_matcher_output])&gt;0))</f>
        <v>1</v>
      </c>
    </row>
    <row r="120" spans="1:17" x14ac:dyDescent="0.25">
      <c r="A120" t="s">
        <v>170</v>
      </c>
      <c r="B120" t="s">
        <v>171</v>
      </c>
      <c r="C120" t="s">
        <v>172</v>
      </c>
      <c r="D120" t="s">
        <v>20</v>
      </c>
      <c r="E120" t="s">
        <v>33</v>
      </c>
      <c r="H120" t="s">
        <v>54</v>
      </c>
      <c r="J120" t="s">
        <v>184</v>
      </c>
      <c r="K120" t="s">
        <v>185</v>
      </c>
      <c r="M120">
        <v>0.20169999999999999</v>
      </c>
      <c r="N120">
        <v>3</v>
      </c>
      <c r="P120">
        <f>COUNTIFS(keyword_comparison[record_identifier],keyword_comparison[[#This Row],[record_identifier]],keyword_comparison[Review],"&lt;&gt;")</f>
        <v>0</v>
      </c>
      <c r="Q120" cm="1">
        <f t="array" ref="Q120">SUMPRODUCT((keyword_comparison[record_identifier]=keyword_comparison[[#This Row],[record_identifier]])*(LEN(keyword_comparison[keyword_matcher_output])&gt;0))</f>
        <v>1</v>
      </c>
    </row>
    <row r="121" spans="1:17" x14ac:dyDescent="0.25">
      <c r="A121" t="s">
        <v>170</v>
      </c>
      <c r="B121" t="s">
        <v>171</v>
      </c>
      <c r="C121" t="s">
        <v>172</v>
      </c>
      <c r="D121" t="s">
        <v>20</v>
      </c>
      <c r="E121" t="s">
        <v>33</v>
      </c>
      <c r="H121" t="s">
        <v>54</v>
      </c>
      <c r="J121" t="s">
        <v>186</v>
      </c>
      <c r="K121" t="s">
        <v>174</v>
      </c>
      <c r="L121" t="b">
        <v>1</v>
      </c>
      <c r="M121">
        <v>0.18659999999999999</v>
      </c>
      <c r="N121">
        <v>4</v>
      </c>
      <c r="P121">
        <f>COUNTIFS(keyword_comparison[record_identifier],keyword_comparison[[#This Row],[record_identifier]],keyword_comparison[Review],"&lt;&gt;")</f>
        <v>0</v>
      </c>
      <c r="Q121" cm="1">
        <f t="array" ref="Q121">SUMPRODUCT((keyword_comparison[record_identifier]=keyword_comparison[[#This Row],[record_identifier]])*(LEN(keyword_comparison[keyword_matcher_output])&gt;0))</f>
        <v>1</v>
      </c>
    </row>
    <row r="122" spans="1:17" x14ac:dyDescent="0.25">
      <c r="A122" t="s">
        <v>170</v>
      </c>
      <c r="B122" t="s">
        <v>171</v>
      </c>
      <c r="C122" t="s">
        <v>172</v>
      </c>
      <c r="D122" t="s">
        <v>20</v>
      </c>
      <c r="E122" t="s">
        <v>33</v>
      </c>
      <c r="H122" t="s">
        <v>54</v>
      </c>
      <c r="J122" t="s">
        <v>187</v>
      </c>
      <c r="K122" t="s">
        <v>188</v>
      </c>
      <c r="M122">
        <v>8.9300000000000004E-2</v>
      </c>
      <c r="N122">
        <v>5</v>
      </c>
      <c r="P122">
        <f>COUNTIFS(keyword_comparison[record_identifier],keyword_comparison[[#This Row],[record_identifier]],keyword_comparison[Review],"&lt;&gt;")</f>
        <v>0</v>
      </c>
      <c r="Q122" cm="1">
        <f t="array" ref="Q122">SUMPRODUCT((keyword_comparison[record_identifier]=keyword_comparison[[#This Row],[record_identifier]])*(LEN(keyword_comparison[keyword_matcher_output])&gt;0))</f>
        <v>1</v>
      </c>
    </row>
    <row r="123" spans="1:17" x14ac:dyDescent="0.25">
      <c r="A123" t="s">
        <v>170</v>
      </c>
      <c r="B123" t="s">
        <v>171</v>
      </c>
      <c r="C123" t="s">
        <v>172</v>
      </c>
      <c r="D123" t="s">
        <v>20</v>
      </c>
      <c r="E123" t="s">
        <v>33</v>
      </c>
      <c r="H123" t="s">
        <v>54</v>
      </c>
      <c r="J123" t="s">
        <v>189</v>
      </c>
      <c r="K123" t="s">
        <v>190</v>
      </c>
      <c r="M123">
        <v>7.3800000000000004E-2</v>
      </c>
      <c r="N123">
        <v>6</v>
      </c>
      <c r="P123">
        <f>COUNTIFS(keyword_comparison[record_identifier],keyword_comparison[[#This Row],[record_identifier]],keyword_comparison[Review],"&lt;&gt;")</f>
        <v>0</v>
      </c>
      <c r="Q123" cm="1">
        <f t="array" ref="Q123">SUMPRODUCT((keyword_comparison[record_identifier]=keyword_comparison[[#This Row],[record_identifier]])*(LEN(keyword_comparison[keyword_matcher_output])&gt;0))</f>
        <v>1</v>
      </c>
    </row>
    <row r="124" spans="1:17" x14ac:dyDescent="0.25">
      <c r="A124" t="s">
        <v>170</v>
      </c>
      <c r="B124" t="s">
        <v>171</v>
      </c>
      <c r="C124" t="s">
        <v>172</v>
      </c>
      <c r="D124" t="s">
        <v>20</v>
      </c>
      <c r="E124" t="s">
        <v>33</v>
      </c>
      <c r="H124" t="s">
        <v>54</v>
      </c>
      <c r="J124" t="s">
        <v>191</v>
      </c>
      <c r="K124" t="s">
        <v>192</v>
      </c>
      <c r="M124">
        <v>7.0999999999999994E-2</v>
      </c>
      <c r="N124">
        <v>7</v>
      </c>
      <c r="P124">
        <f>COUNTIFS(keyword_comparison[record_identifier],keyword_comparison[[#This Row],[record_identifier]],keyword_comparison[Review],"&lt;&gt;")</f>
        <v>0</v>
      </c>
      <c r="Q124" cm="1">
        <f t="array" ref="Q124">SUMPRODUCT((keyword_comparison[record_identifier]=keyword_comparison[[#This Row],[record_identifier]])*(LEN(keyword_comparison[keyword_matcher_output])&gt;0))</f>
        <v>1</v>
      </c>
    </row>
    <row r="125" spans="1:17" x14ac:dyDescent="0.25">
      <c r="A125" t="s">
        <v>170</v>
      </c>
      <c r="B125" t="s">
        <v>171</v>
      </c>
      <c r="C125" t="s">
        <v>172</v>
      </c>
      <c r="D125" t="s">
        <v>20</v>
      </c>
      <c r="E125" t="s">
        <v>33</v>
      </c>
      <c r="H125" t="s">
        <v>54</v>
      </c>
      <c r="J125" t="s">
        <v>193</v>
      </c>
      <c r="K125" t="s">
        <v>194</v>
      </c>
      <c r="M125">
        <v>6.2E-2</v>
      </c>
      <c r="N125">
        <v>8</v>
      </c>
      <c r="P125">
        <f>COUNTIFS(keyword_comparison[record_identifier],keyword_comparison[[#This Row],[record_identifier]],keyword_comparison[Review],"&lt;&gt;")</f>
        <v>0</v>
      </c>
      <c r="Q125" cm="1">
        <f t="array" ref="Q125">SUMPRODUCT((keyword_comparison[record_identifier]=keyword_comparison[[#This Row],[record_identifier]])*(LEN(keyword_comparison[keyword_matcher_output])&gt;0))</f>
        <v>1</v>
      </c>
    </row>
    <row r="126" spans="1:17" x14ac:dyDescent="0.25">
      <c r="A126" t="s">
        <v>170</v>
      </c>
      <c r="B126" t="s">
        <v>171</v>
      </c>
      <c r="C126" t="s">
        <v>172</v>
      </c>
      <c r="D126" t="s">
        <v>20</v>
      </c>
      <c r="E126" t="s">
        <v>48</v>
      </c>
      <c r="H126" t="s">
        <v>54</v>
      </c>
      <c r="J126" t="s">
        <v>34</v>
      </c>
      <c r="K126" t="s">
        <v>35</v>
      </c>
      <c r="P126">
        <f>COUNTIFS(keyword_comparison[record_identifier],keyword_comparison[[#This Row],[record_identifier]],keyword_comparison[Review],"&lt;&gt;")</f>
        <v>0</v>
      </c>
      <c r="Q126" cm="1">
        <f t="array" ref="Q126">SUMPRODUCT((keyword_comparison[record_identifier]=keyword_comparison[[#This Row],[record_identifier]])*(LEN(keyword_comparison[keyword_matcher_output])&gt;0))</f>
        <v>1</v>
      </c>
    </row>
    <row r="127" spans="1:17" x14ac:dyDescent="0.25">
      <c r="A127" t="s">
        <v>170</v>
      </c>
      <c r="B127" t="s">
        <v>171</v>
      </c>
      <c r="C127" t="s">
        <v>172</v>
      </c>
      <c r="D127" t="s">
        <v>20</v>
      </c>
      <c r="E127" t="s">
        <v>48</v>
      </c>
      <c r="H127" t="s">
        <v>54</v>
      </c>
      <c r="J127" t="s">
        <v>195</v>
      </c>
      <c r="K127" t="s">
        <v>196</v>
      </c>
      <c r="P127">
        <f>COUNTIFS(keyword_comparison[record_identifier],keyword_comparison[[#This Row],[record_identifier]],keyword_comparison[Review],"&lt;&gt;")</f>
        <v>0</v>
      </c>
      <c r="Q127" cm="1">
        <f t="array" ref="Q127">SUMPRODUCT((keyword_comparison[record_identifier]=keyword_comparison[[#This Row],[record_identifier]])*(LEN(keyword_comparison[keyword_matcher_output])&gt;0))</f>
        <v>1</v>
      </c>
    </row>
    <row r="128" spans="1:17" x14ac:dyDescent="0.25">
      <c r="A128" t="s">
        <v>170</v>
      </c>
      <c r="B128" t="s">
        <v>171</v>
      </c>
      <c r="C128" t="s">
        <v>172</v>
      </c>
      <c r="D128" t="s">
        <v>20</v>
      </c>
      <c r="E128" t="s">
        <v>48</v>
      </c>
      <c r="H128" t="s">
        <v>54</v>
      </c>
      <c r="J128" t="s">
        <v>84</v>
      </c>
      <c r="K128" t="s">
        <v>85</v>
      </c>
      <c r="P128">
        <f>COUNTIFS(keyword_comparison[record_identifier],keyword_comparison[[#This Row],[record_identifier]],keyword_comparison[Review],"&lt;&gt;")</f>
        <v>0</v>
      </c>
      <c r="Q128" cm="1">
        <f t="array" ref="Q128">SUMPRODUCT((keyword_comparison[record_identifier]=keyword_comparison[[#This Row],[record_identifier]])*(LEN(keyword_comparison[keyword_matcher_output])&gt;0))</f>
        <v>1</v>
      </c>
    </row>
    <row r="129" spans="1:17" x14ac:dyDescent="0.25">
      <c r="A129" t="s">
        <v>170</v>
      </c>
      <c r="B129" t="s">
        <v>171</v>
      </c>
      <c r="C129" t="s">
        <v>172</v>
      </c>
      <c r="D129" t="s">
        <v>20</v>
      </c>
      <c r="E129" t="s">
        <v>48</v>
      </c>
      <c r="H129" t="s">
        <v>54</v>
      </c>
      <c r="J129" t="s">
        <v>197</v>
      </c>
      <c r="K129" t="s">
        <v>198</v>
      </c>
      <c r="P129">
        <f>COUNTIFS(keyword_comparison[record_identifier],keyword_comparison[[#This Row],[record_identifier]],keyword_comparison[Review],"&lt;&gt;")</f>
        <v>0</v>
      </c>
      <c r="Q129" cm="1">
        <f t="array" ref="Q129">SUMPRODUCT((keyword_comparison[record_identifier]=keyword_comparison[[#This Row],[record_identifier]])*(LEN(keyword_comparison[keyword_matcher_output])&gt;0))</f>
        <v>1</v>
      </c>
    </row>
    <row r="130" spans="1:17" x14ac:dyDescent="0.25">
      <c r="A130" t="s">
        <v>170</v>
      </c>
      <c r="B130" t="s">
        <v>171</v>
      </c>
      <c r="C130" t="s">
        <v>172</v>
      </c>
      <c r="D130" t="s">
        <v>20</v>
      </c>
      <c r="E130" t="s">
        <v>48</v>
      </c>
      <c r="H130" t="s">
        <v>54</v>
      </c>
      <c r="J130" t="s">
        <v>199</v>
      </c>
      <c r="K130" t="s">
        <v>200</v>
      </c>
      <c r="P130">
        <f>COUNTIFS(keyword_comparison[record_identifier],keyword_comparison[[#This Row],[record_identifier]],keyword_comparison[Review],"&lt;&gt;")</f>
        <v>0</v>
      </c>
      <c r="Q130" cm="1">
        <f t="array" ref="Q130">SUMPRODUCT((keyword_comparison[record_identifier]=keyword_comparison[[#This Row],[record_identifier]])*(LEN(keyword_comparison[keyword_matcher_output])&gt;0))</f>
        <v>1</v>
      </c>
    </row>
    <row r="131" spans="1:17" x14ac:dyDescent="0.25">
      <c r="A131" t="s">
        <v>170</v>
      </c>
      <c r="B131" t="s">
        <v>171</v>
      </c>
      <c r="C131" t="s">
        <v>172</v>
      </c>
      <c r="D131" t="s">
        <v>20</v>
      </c>
      <c r="E131" t="s">
        <v>48</v>
      </c>
      <c r="H131" t="s">
        <v>54</v>
      </c>
      <c r="J131" t="s">
        <v>201</v>
      </c>
      <c r="K131" t="s">
        <v>200</v>
      </c>
      <c r="P131">
        <f>COUNTIFS(keyword_comparison[record_identifier],keyword_comparison[[#This Row],[record_identifier]],keyword_comparison[Review],"&lt;&gt;")</f>
        <v>0</v>
      </c>
      <c r="Q131" cm="1">
        <f t="array" ref="Q131">SUMPRODUCT((keyword_comparison[record_identifier]=keyword_comparison[[#This Row],[record_identifier]])*(LEN(keyword_comparison[keyword_matcher_output])&gt;0))</f>
        <v>1</v>
      </c>
    </row>
    <row r="132" spans="1:17" x14ac:dyDescent="0.25">
      <c r="A132" t="s">
        <v>170</v>
      </c>
      <c r="B132" t="s">
        <v>171</v>
      </c>
      <c r="C132" t="s">
        <v>172</v>
      </c>
      <c r="D132" t="s">
        <v>20</v>
      </c>
      <c r="E132" t="s">
        <v>48</v>
      </c>
      <c r="H132" t="s">
        <v>54</v>
      </c>
      <c r="J132" t="s">
        <v>202</v>
      </c>
      <c r="K132" t="s">
        <v>203</v>
      </c>
      <c r="P132">
        <f>COUNTIFS(keyword_comparison[record_identifier],keyword_comparison[[#This Row],[record_identifier]],keyword_comparison[Review],"&lt;&gt;")</f>
        <v>0</v>
      </c>
      <c r="Q132" cm="1">
        <f t="array" ref="Q132">SUMPRODUCT((keyword_comparison[record_identifier]=keyword_comparison[[#This Row],[record_identifier]])*(LEN(keyword_comparison[keyword_matcher_output])&gt;0))</f>
        <v>1</v>
      </c>
    </row>
    <row r="133" spans="1:17" x14ac:dyDescent="0.25">
      <c r="A133" t="s">
        <v>170</v>
      </c>
      <c r="B133" t="s">
        <v>171</v>
      </c>
      <c r="C133" t="s">
        <v>172</v>
      </c>
      <c r="D133" t="s">
        <v>20</v>
      </c>
      <c r="E133" t="s">
        <v>53</v>
      </c>
      <c r="F133" t="s">
        <v>54</v>
      </c>
      <c r="G133" t="s">
        <v>54</v>
      </c>
      <c r="H133" t="s">
        <v>54</v>
      </c>
      <c r="J133" t="s">
        <v>204</v>
      </c>
      <c r="K133" t="s">
        <v>205</v>
      </c>
      <c r="O133">
        <v>1</v>
      </c>
      <c r="P133">
        <f>COUNTIFS(keyword_comparison[record_identifier],keyword_comparison[[#This Row],[record_identifier]],keyword_comparison[Review],"&lt;&gt;")</f>
        <v>0</v>
      </c>
      <c r="Q133" cm="1">
        <f t="array" ref="Q133">SUMPRODUCT((keyword_comparison[record_identifier]=keyword_comparison[[#This Row],[record_identifier]])*(LEN(keyword_comparison[keyword_matcher_output])&gt;0))</f>
        <v>1</v>
      </c>
    </row>
    <row r="134" spans="1:17" x14ac:dyDescent="0.25">
      <c r="A134" t="s">
        <v>170</v>
      </c>
      <c r="B134" t="s">
        <v>171</v>
      </c>
      <c r="C134" t="s">
        <v>172</v>
      </c>
      <c r="D134" t="s">
        <v>20</v>
      </c>
      <c r="E134" t="s">
        <v>53</v>
      </c>
      <c r="F134" t="s">
        <v>54</v>
      </c>
      <c r="G134" t="s">
        <v>54</v>
      </c>
      <c r="H134" t="s">
        <v>54</v>
      </c>
      <c r="J134" t="s">
        <v>206</v>
      </c>
      <c r="K134" t="s">
        <v>60</v>
      </c>
      <c r="O134">
        <v>2</v>
      </c>
      <c r="P134">
        <f>COUNTIFS(keyword_comparison[record_identifier],keyword_comparison[[#This Row],[record_identifier]],keyword_comparison[Review],"&lt;&gt;")</f>
        <v>0</v>
      </c>
      <c r="Q134" cm="1">
        <f t="array" ref="Q134">SUMPRODUCT((keyword_comparison[record_identifier]=keyword_comparison[[#This Row],[record_identifier]])*(LEN(keyword_comparison[keyword_matcher_output])&gt;0))</f>
        <v>1</v>
      </c>
    </row>
    <row r="135" spans="1:17" x14ac:dyDescent="0.25">
      <c r="A135" t="s">
        <v>170</v>
      </c>
      <c r="B135" t="s">
        <v>171</v>
      </c>
      <c r="C135" t="s">
        <v>172</v>
      </c>
      <c r="D135" t="s">
        <v>20</v>
      </c>
      <c r="E135" t="s">
        <v>53</v>
      </c>
      <c r="F135" t="s">
        <v>54</v>
      </c>
      <c r="G135" t="s">
        <v>54</v>
      </c>
      <c r="H135" t="s">
        <v>54</v>
      </c>
      <c r="J135" t="s">
        <v>34</v>
      </c>
      <c r="K135" t="s">
        <v>35</v>
      </c>
      <c r="O135">
        <v>3</v>
      </c>
      <c r="P135">
        <f>COUNTIFS(keyword_comparison[record_identifier],keyword_comparison[[#This Row],[record_identifier]],keyword_comparison[Review],"&lt;&gt;")</f>
        <v>0</v>
      </c>
      <c r="Q135" cm="1">
        <f t="array" ref="Q135">SUMPRODUCT((keyword_comparison[record_identifier]=keyword_comparison[[#This Row],[record_identifier]])*(LEN(keyword_comparison[keyword_matcher_output])&gt;0))</f>
        <v>1</v>
      </c>
    </row>
    <row r="136" spans="1:17" x14ac:dyDescent="0.25">
      <c r="A136" t="s">
        <v>170</v>
      </c>
      <c r="B136" t="s">
        <v>171</v>
      </c>
      <c r="C136" t="s">
        <v>172</v>
      </c>
      <c r="D136" t="s">
        <v>20</v>
      </c>
      <c r="E136" t="s">
        <v>53</v>
      </c>
      <c r="F136" t="s">
        <v>54</v>
      </c>
      <c r="G136" t="s">
        <v>54</v>
      </c>
      <c r="H136" t="s">
        <v>54</v>
      </c>
      <c r="J136" t="s">
        <v>207</v>
      </c>
      <c r="K136" t="s">
        <v>208</v>
      </c>
      <c r="O136">
        <v>4</v>
      </c>
      <c r="P136">
        <f>COUNTIFS(keyword_comparison[record_identifier],keyword_comparison[[#This Row],[record_identifier]],keyword_comparison[Review],"&lt;&gt;")</f>
        <v>0</v>
      </c>
      <c r="Q136" cm="1">
        <f t="array" ref="Q136">SUMPRODUCT((keyword_comparison[record_identifier]=keyword_comparison[[#This Row],[record_identifier]])*(LEN(keyword_comparison[keyword_matcher_output])&gt;0))</f>
        <v>1</v>
      </c>
    </row>
    <row r="137" spans="1:17" x14ac:dyDescent="0.25">
      <c r="A137" t="s">
        <v>170</v>
      </c>
      <c r="B137" t="s">
        <v>171</v>
      </c>
      <c r="C137" t="s">
        <v>172</v>
      </c>
      <c r="D137" t="s">
        <v>20</v>
      </c>
      <c r="E137" t="s">
        <v>53</v>
      </c>
      <c r="F137" t="s">
        <v>54</v>
      </c>
      <c r="G137" t="s">
        <v>54</v>
      </c>
      <c r="H137" t="s">
        <v>54</v>
      </c>
      <c r="J137" t="s">
        <v>209</v>
      </c>
      <c r="K137" t="s">
        <v>210</v>
      </c>
      <c r="O137">
        <v>5</v>
      </c>
      <c r="P137">
        <f>COUNTIFS(keyword_comparison[record_identifier],keyword_comparison[[#This Row],[record_identifier]],keyword_comparison[Review],"&lt;&gt;")</f>
        <v>0</v>
      </c>
      <c r="Q137" cm="1">
        <f t="array" ref="Q137">SUMPRODUCT((keyword_comparison[record_identifier]=keyword_comparison[[#This Row],[record_identifier]])*(LEN(keyword_comparison[keyword_matcher_output])&gt;0))</f>
        <v>1</v>
      </c>
    </row>
    <row r="138" spans="1:17" x14ac:dyDescent="0.25">
      <c r="A138" t="s">
        <v>170</v>
      </c>
      <c r="B138" t="s">
        <v>171</v>
      </c>
      <c r="C138" t="s">
        <v>172</v>
      </c>
      <c r="D138" t="s">
        <v>20</v>
      </c>
      <c r="E138" t="s">
        <v>53</v>
      </c>
      <c r="F138" t="s">
        <v>54</v>
      </c>
      <c r="G138" t="s">
        <v>54</v>
      </c>
      <c r="H138" t="s">
        <v>54</v>
      </c>
      <c r="J138" t="s">
        <v>197</v>
      </c>
      <c r="K138" t="s">
        <v>198</v>
      </c>
      <c r="O138">
        <v>6</v>
      </c>
      <c r="P138">
        <f>COUNTIFS(keyword_comparison[record_identifier],keyword_comparison[[#This Row],[record_identifier]],keyword_comparison[Review],"&lt;&gt;")</f>
        <v>0</v>
      </c>
      <c r="Q138" cm="1">
        <f t="array" ref="Q138">SUMPRODUCT((keyword_comparison[record_identifier]=keyword_comparison[[#This Row],[record_identifier]])*(LEN(keyword_comparison[keyword_matcher_output])&gt;0))</f>
        <v>1</v>
      </c>
    </row>
    <row r="139" spans="1:17" x14ac:dyDescent="0.25">
      <c r="A139" t="s">
        <v>170</v>
      </c>
      <c r="B139" t="s">
        <v>171</v>
      </c>
      <c r="C139" t="s">
        <v>172</v>
      </c>
      <c r="D139" t="s">
        <v>20</v>
      </c>
      <c r="E139" t="s">
        <v>53</v>
      </c>
      <c r="F139" t="s">
        <v>54</v>
      </c>
      <c r="G139" t="s">
        <v>54</v>
      </c>
      <c r="H139" t="s">
        <v>54</v>
      </c>
      <c r="J139" t="s">
        <v>195</v>
      </c>
      <c r="K139" t="s">
        <v>196</v>
      </c>
      <c r="O139">
        <v>7</v>
      </c>
      <c r="P139">
        <f>COUNTIFS(keyword_comparison[record_identifier],keyword_comparison[[#This Row],[record_identifier]],keyword_comparison[Review],"&lt;&gt;")</f>
        <v>0</v>
      </c>
      <c r="Q139" cm="1">
        <f t="array" ref="Q139">SUMPRODUCT((keyword_comparison[record_identifier]=keyword_comparison[[#This Row],[record_identifier]])*(LEN(keyword_comparison[keyword_matcher_output])&gt;0))</f>
        <v>1</v>
      </c>
    </row>
    <row r="140" spans="1:17" x14ac:dyDescent="0.25">
      <c r="A140" t="s">
        <v>170</v>
      </c>
      <c r="B140" t="s">
        <v>171</v>
      </c>
      <c r="C140" t="s">
        <v>172</v>
      </c>
      <c r="D140" t="s">
        <v>20</v>
      </c>
      <c r="E140" t="s">
        <v>53</v>
      </c>
      <c r="F140" t="s">
        <v>54</v>
      </c>
      <c r="G140" t="s">
        <v>54</v>
      </c>
      <c r="H140" t="s">
        <v>54</v>
      </c>
      <c r="J140" t="s">
        <v>42</v>
      </c>
      <c r="K140" t="s">
        <v>43</v>
      </c>
      <c r="O140">
        <v>8</v>
      </c>
      <c r="P140">
        <f>COUNTIFS(keyword_comparison[record_identifier],keyword_comparison[[#This Row],[record_identifier]],keyword_comparison[Review],"&lt;&gt;")</f>
        <v>0</v>
      </c>
      <c r="Q140" cm="1">
        <f t="array" ref="Q140">SUMPRODUCT((keyword_comparison[record_identifier]=keyword_comparison[[#This Row],[record_identifier]])*(LEN(keyword_comparison[keyword_matcher_output])&gt;0))</f>
        <v>1</v>
      </c>
    </row>
    <row r="141" spans="1:17" x14ac:dyDescent="0.25">
      <c r="A141" t="s">
        <v>170</v>
      </c>
      <c r="B141" t="s">
        <v>171</v>
      </c>
      <c r="C141" t="s">
        <v>172</v>
      </c>
      <c r="D141" t="s">
        <v>20</v>
      </c>
      <c r="E141" t="s">
        <v>53</v>
      </c>
      <c r="F141" t="s">
        <v>54</v>
      </c>
      <c r="G141" t="s">
        <v>54</v>
      </c>
      <c r="H141" t="s">
        <v>54</v>
      </c>
      <c r="J141" t="s">
        <v>55</v>
      </c>
      <c r="K141" t="s">
        <v>56</v>
      </c>
      <c r="O141">
        <v>9</v>
      </c>
      <c r="P141">
        <f>COUNTIFS(keyword_comparison[record_identifier],keyword_comparison[[#This Row],[record_identifier]],keyword_comparison[Review],"&lt;&gt;")</f>
        <v>0</v>
      </c>
      <c r="Q141" cm="1">
        <f t="array" ref="Q141">SUMPRODUCT((keyword_comparison[record_identifier]=keyword_comparison[[#This Row],[record_identifier]])*(LEN(keyword_comparison[keyword_matcher_output])&gt;0))</f>
        <v>1</v>
      </c>
    </row>
    <row r="142" spans="1:17" x14ac:dyDescent="0.25">
      <c r="A142" t="s">
        <v>170</v>
      </c>
      <c r="B142" t="s">
        <v>171</v>
      </c>
      <c r="C142" t="s">
        <v>172</v>
      </c>
      <c r="D142" t="s">
        <v>20</v>
      </c>
      <c r="E142" t="s">
        <v>53</v>
      </c>
      <c r="F142" t="s">
        <v>54</v>
      </c>
      <c r="G142" t="s">
        <v>54</v>
      </c>
      <c r="H142" t="s">
        <v>54</v>
      </c>
      <c r="J142" t="s">
        <v>211</v>
      </c>
      <c r="K142" t="s">
        <v>212</v>
      </c>
      <c r="O142">
        <v>10</v>
      </c>
      <c r="P142">
        <f>COUNTIFS(keyword_comparison[record_identifier],keyword_comparison[[#This Row],[record_identifier]],keyword_comparison[Review],"&lt;&gt;")</f>
        <v>0</v>
      </c>
      <c r="Q142" cm="1">
        <f t="array" ref="Q142">SUMPRODUCT((keyword_comparison[record_identifier]=keyword_comparison[[#This Row],[record_identifier]])*(LEN(keyword_comparison[keyword_matcher_output])&gt;0))</f>
        <v>1</v>
      </c>
    </row>
    <row r="143" spans="1:17" x14ac:dyDescent="0.25">
      <c r="A143" t="s">
        <v>213</v>
      </c>
      <c r="B143" t="s">
        <v>214</v>
      </c>
      <c r="C143" t="s">
        <v>215</v>
      </c>
      <c r="D143" t="s">
        <v>20</v>
      </c>
      <c r="E143" t="s">
        <v>21</v>
      </c>
      <c r="F143" t="s">
        <v>216</v>
      </c>
      <c r="G143" t="s">
        <v>72</v>
      </c>
      <c r="H143" t="s">
        <v>54</v>
      </c>
      <c r="P143">
        <f>COUNTIFS(keyword_comparison[record_identifier],keyword_comparison[[#This Row],[record_identifier]],keyword_comparison[Review],"&lt;&gt;")</f>
        <v>15</v>
      </c>
      <c r="Q143" cm="1">
        <f t="array" ref="Q143">SUMPRODUCT((keyword_comparison[record_identifier]=keyword_comparison[[#This Row],[record_identifier]])*(LEN(keyword_comparison[keyword_matcher_output])&gt;0))</f>
        <v>0</v>
      </c>
    </row>
    <row r="144" spans="1:17" x14ac:dyDescent="0.25">
      <c r="A144" t="s">
        <v>213</v>
      </c>
      <c r="B144" t="s">
        <v>214</v>
      </c>
      <c r="C144" t="s">
        <v>215</v>
      </c>
      <c r="D144" t="s">
        <v>20</v>
      </c>
      <c r="E144" t="s">
        <v>21</v>
      </c>
      <c r="F144" t="s">
        <v>160</v>
      </c>
      <c r="G144" t="s">
        <v>31</v>
      </c>
      <c r="H144" t="s">
        <v>54</v>
      </c>
      <c r="P144">
        <f>COUNTIFS(keyword_comparison[record_identifier],keyword_comparison[[#This Row],[record_identifier]],keyword_comparison[Review],"&lt;&gt;")</f>
        <v>15</v>
      </c>
      <c r="Q144" cm="1">
        <f t="array" ref="Q144">SUMPRODUCT((keyword_comparison[record_identifier]=keyword_comparison[[#This Row],[record_identifier]])*(LEN(keyword_comparison[keyword_matcher_output])&gt;0))</f>
        <v>0</v>
      </c>
    </row>
    <row r="145" spans="1:17" x14ac:dyDescent="0.25">
      <c r="A145" t="s">
        <v>213</v>
      </c>
      <c r="B145" t="s">
        <v>214</v>
      </c>
      <c r="C145" t="s">
        <v>215</v>
      </c>
      <c r="D145" t="s">
        <v>20</v>
      </c>
      <c r="E145" t="s">
        <v>21</v>
      </c>
      <c r="F145" t="s">
        <v>158</v>
      </c>
      <c r="G145" t="s">
        <v>31</v>
      </c>
      <c r="H145" t="s">
        <v>54</v>
      </c>
      <c r="P145">
        <f>COUNTIFS(keyword_comparison[record_identifier],keyword_comparison[[#This Row],[record_identifier]],keyword_comparison[Review],"&lt;&gt;")</f>
        <v>15</v>
      </c>
      <c r="Q145" cm="1">
        <f t="array" ref="Q145">SUMPRODUCT((keyword_comparison[record_identifier]=keyword_comparison[[#This Row],[record_identifier]])*(LEN(keyword_comparison[keyword_matcher_output])&gt;0))</f>
        <v>0</v>
      </c>
    </row>
    <row r="146" spans="1:17" x14ac:dyDescent="0.25">
      <c r="A146" t="s">
        <v>213</v>
      </c>
      <c r="B146" t="s">
        <v>214</v>
      </c>
      <c r="C146" t="s">
        <v>215</v>
      </c>
      <c r="D146" t="s">
        <v>20</v>
      </c>
      <c r="E146" t="s">
        <v>21</v>
      </c>
      <c r="F146" t="s">
        <v>74</v>
      </c>
      <c r="G146" t="s">
        <v>72</v>
      </c>
      <c r="H146" t="s">
        <v>54</v>
      </c>
      <c r="P146">
        <f>COUNTIFS(keyword_comparison[record_identifier],keyword_comparison[[#This Row],[record_identifier]],keyword_comparison[Review],"&lt;&gt;")</f>
        <v>15</v>
      </c>
      <c r="Q146" cm="1">
        <f t="array" ref="Q146">SUMPRODUCT((keyword_comparison[record_identifier]=keyword_comparison[[#This Row],[record_identifier]])*(LEN(keyword_comparison[keyword_matcher_output])&gt;0))</f>
        <v>0</v>
      </c>
    </row>
    <row r="147" spans="1:17" x14ac:dyDescent="0.25">
      <c r="A147" t="s">
        <v>213</v>
      </c>
      <c r="B147" t="s">
        <v>214</v>
      </c>
      <c r="C147" t="s">
        <v>215</v>
      </c>
      <c r="D147" t="s">
        <v>20</v>
      </c>
      <c r="E147" t="s">
        <v>21</v>
      </c>
      <c r="F147" t="s">
        <v>159</v>
      </c>
      <c r="G147" t="s">
        <v>31</v>
      </c>
      <c r="H147" t="s">
        <v>54</v>
      </c>
      <c r="P147">
        <f>COUNTIFS(keyword_comparison[record_identifier],keyword_comparison[[#This Row],[record_identifier]],keyword_comparison[Review],"&lt;&gt;")</f>
        <v>15</v>
      </c>
      <c r="Q147" cm="1">
        <f t="array" ref="Q147">SUMPRODUCT((keyword_comparison[record_identifier]=keyword_comparison[[#This Row],[record_identifier]])*(LEN(keyword_comparison[keyword_matcher_output])&gt;0))</f>
        <v>0</v>
      </c>
    </row>
    <row r="148" spans="1:17" x14ac:dyDescent="0.25">
      <c r="A148" t="s">
        <v>213</v>
      </c>
      <c r="B148" t="s">
        <v>214</v>
      </c>
      <c r="C148" t="s">
        <v>215</v>
      </c>
      <c r="D148" t="s">
        <v>20</v>
      </c>
      <c r="E148" t="s">
        <v>21</v>
      </c>
      <c r="F148" t="s">
        <v>71</v>
      </c>
      <c r="G148" t="s">
        <v>72</v>
      </c>
      <c r="H148" t="s">
        <v>54</v>
      </c>
      <c r="P148">
        <f>COUNTIFS(keyword_comparison[record_identifier],keyword_comparison[[#This Row],[record_identifier]],keyword_comparison[Review],"&lt;&gt;")</f>
        <v>15</v>
      </c>
      <c r="Q148" cm="1">
        <f t="array" ref="Q148">SUMPRODUCT((keyword_comparison[record_identifier]=keyword_comparison[[#This Row],[record_identifier]])*(LEN(keyword_comparison[keyword_matcher_output])&gt;0))</f>
        <v>0</v>
      </c>
    </row>
    <row r="149" spans="1:17" x14ac:dyDescent="0.25">
      <c r="A149" t="s">
        <v>213</v>
      </c>
      <c r="B149" t="s">
        <v>214</v>
      </c>
      <c r="C149" t="s">
        <v>215</v>
      </c>
      <c r="D149" t="s">
        <v>20</v>
      </c>
      <c r="E149" t="s">
        <v>33</v>
      </c>
      <c r="H149" t="s">
        <v>54</v>
      </c>
      <c r="I149" t="s">
        <v>80</v>
      </c>
      <c r="J149" t="s">
        <v>217</v>
      </c>
      <c r="K149" t="s">
        <v>218</v>
      </c>
      <c r="M149">
        <v>0.88790000000000002</v>
      </c>
      <c r="N149">
        <v>1</v>
      </c>
      <c r="P149">
        <f>COUNTIFS(keyword_comparison[record_identifier],keyword_comparison[[#This Row],[record_identifier]],keyword_comparison[Review],"&lt;&gt;")</f>
        <v>15</v>
      </c>
      <c r="Q149" cm="1">
        <f t="array" ref="Q149">SUMPRODUCT((keyword_comparison[record_identifier]=keyword_comparison[[#This Row],[record_identifier]])*(LEN(keyword_comparison[keyword_matcher_output])&gt;0))</f>
        <v>0</v>
      </c>
    </row>
    <row r="150" spans="1:17" x14ac:dyDescent="0.25">
      <c r="A150" t="s">
        <v>213</v>
      </c>
      <c r="B150" t="s">
        <v>214</v>
      </c>
      <c r="C150" t="s">
        <v>215</v>
      </c>
      <c r="D150" t="s">
        <v>20</v>
      </c>
      <c r="E150" t="s">
        <v>33</v>
      </c>
      <c r="H150" t="s">
        <v>54</v>
      </c>
      <c r="I150" t="s">
        <v>80</v>
      </c>
      <c r="J150" t="s">
        <v>219</v>
      </c>
      <c r="K150" t="s">
        <v>220</v>
      </c>
      <c r="M150">
        <v>0.41199999999999998</v>
      </c>
      <c r="N150">
        <v>2</v>
      </c>
      <c r="P150">
        <f>COUNTIFS(keyword_comparison[record_identifier],keyword_comparison[[#This Row],[record_identifier]],keyword_comparison[Review],"&lt;&gt;")</f>
        <v>15</v>
      </c>
      <c r="Q150" cm="1">
        <f t="array" ref="Q150">SUMPRODUCT((keyword_comparison[record_identifier]=keyword_comparison[[#This Row],[record_identifier]])*(LEN(keyword_comparison[keyword_matcher_output])&gt;0))</f>
        <v>0</v>
      </c>
    </row>
    <row r="151" spans="1:17" x14ac:dyDescent="0.25">
      <c r="A151" t="s">
        <v>213</v>
      </c>
      <c r="B151" t="s">
        <v>214</v>
      </c>
      <c r="C151" t="s">
        <v>215</v>
      </c>
      <c r="D151" t="s">
        <v>20</v>
      </c>
      <c r="E151" t="s">
        <v>33</v>
      </c>
      <c r="H151" t="s">
        <v>54</v>
      </c>
      <c r="I151" t="s">
        <v>80</v>
      </c>
      <c r="J151" t="s">
        <v>219</v>
      </c>
      <c r="K151" t="s">
        <v>221</v>
      </c>
      <c r="M151">
        <v>0.41199999999999998</v>
      </c>
      <c r="N151">
        <v>3</v>
      </c>
      <c r="P151">
        <f>COUNTIFS(keyword_comparison[record_identifier],keyword_comparison[[#This Row],[record_identifier]],keyword_comparison[Review],"&lt;&gt;")</f>
        <v>15</v>
      </c>
      <c r="Q151" cm="1">
        <f t="array" ref="Q151">SUMPRODUCT((keyword_comparison[record_identifier]=keyword_comparison[[#This Row],[record_identifier]])*(LEN(keyword_comparison[keyword_matcher_output])&gt;0))</f>
        <v>0</v>
      </c>
    </row>
    <row r="152" spans="1:17" x14ac:dyDescent="0.25">
      <c r="A152" t="s">
        <v>213</v>
      </c>
      <c r="B152" t="s">
        <v>214</v>
      </c>
      <c r="C152" t="s">
        <v>215</v>
      </c>
      <c r="D152" t="s">
        <v>20</v>
      </c>
      <c r="E152" t="s">
        <v>33</v>
      </c>
      <c r="H152" t="s">
        <v>54</v>
      </c>
      <c r="I152" t="s">
        <v>80</v>
      </c>
      <c r="J152" t="s">
        <v>222</v>
      </c>
      <c r="K152" t="s">
        <v>223</v>
      </c>
      <c r="M152">
        <v>0.308</v>
      </c>
      <c r="N152">
        <v>4</v>
      </c>
      <c r="P152">
        <f>COUNTIFS(keyword_comparison[record_identifier],keyword_comparison[[#This Row],[record_identifier]],keyword_comparison[Review],"&lt;&gt;")</f>
        <v>15</v>
      </c>
      <c r="Q152" cm="1">
        <f t="array" ref="Q152">SUMPRODUCT((keyword_comparison[record_identifier]=keyword_comparison[[#This Row],[record_identifier]])*(LEN(keyword_comparison[keyword_matcher_output])&gt;0))</f>
        <v>0</v>
      </c>
    </row>
    <row r="153" spans="1:17" x14ac:dyDescent="0.25">
      <c r="A153" t="s">
        <v>213</v>
      </c>
      <c r="B153" t="s">
        <v>214</v>
      </c>
      <c r="C153" t="s">
        <v>215</v>
      </c>
      <c r="D153" t="s">
        <v>20</v>
      </c>
      <c r="E153" t="s">
        <v>33</v>
      </c>
      <c r="H153" t="s">
        <v>54</v>
      </c>
      <c r="I153" t="s">
        <v>80</v>
      </c>
      <c r="J153" t="s">
        <v>224</v>
      </c>
      <c r="K153" t="s">
        <v>225</v>
      </c>
      <c r="M153">
        <v>0.2893</v>
      </c>
      <c r="N153">
        <v>5</v>
      </c>
      <c r="P153">
        <f>COUNTIFS(keyword_comparison[record_identifier],keyword_comparison[[#This Row],[record_identifier]],keyword_comparison[Review],"&lt;&gt;")</f>
        <v>15</v>
      </c>
      <c r="Q153" cm="1">
        <f t="array" ref="Q153">SUMPRODUCT((keyword_comparison[record_identifier]=keyword_comparison[[#This Row],[record_identifier]])*(LEN(keyword_comparison[keyword_matcher_output])&gt;0))</f>
        <v>0</v>
      </c>
    </row>
    <row r="154" spans="1:17" x14ac:dyDescent="0.25">
      <c r="A154" t="s">
        <v>213</v>
      </c>
      <c r="B154" t="s">
        <v>214</v>
      </c>
      <c r="C154" t="s">
        <v>215</v>
      </c>
      <c r="D154" t="s">
        <v>20</v>
      </c>
      <c r="E154" t="s">
        <v>33</v>
      </c>
      <c r="H154" t="s">
        <v>54</v>
      </c>
      <c r="I154" t="s">
        <v>80</v>
      </c>
      <c r="J154" t="s">
        <v>226</v>
      </c>
      <c r="K154" t="s">
        <v>227</v>
      </c>
      <c r="M154">
        <v>0.18379999999999999</v>
      </c>
      <c r="N154">
        <v>6</v>
      </c>
      <c r="P154">
        <f>COUNTIFS(keyword_comparison[record_identifier],keyword_comparison[[#This Row],[record_identifier]],keyword_comparison[Review],"&lt;&gt;")</f>
        <v>15</v>
      </c>
      <c r="Q154" cm="1">
        <f t="array" ref="Q154">SUMPRODUCT((keyword_comparison[record_identifier]=keyword_comparison[[#This Row],[record_identifier]])*(LEN(keyword_comparison[keyword_matcher_output])&gt;0))</f>
        <v>0</v>
      </c>
    </row>
    <row r="155" spans="1:17" x14ac:dyDescent="0.25">
      <c r="A155" t="s">
        <v>213</v>
      </c>
      <c r="B155" t="s">
        <v>214</v>
      </c>
      <c r="C155" t="s">
        <v>215</v>
      </c>
      <c r="D155" t="s">
        <v>20</v>
      </c>
      <c r="E155" t="s">
        <v>33</v>
      </c>
      <c r="H155" t="s">
        <v>54</v>
      </c>
      <c r="I155" t="s">
        <v>88</v>
      </c>
      <c r="J155" t="s">
        <v>228</v>
      </c>
      <c r="K155" t="s">
        <v>229</v>
      </c>
      <c r="M155">
        <v>0.1096</v>
      </c>
      <c r="N155">
        <v>7</v>
      </c>
      <c r="P155">
        <f>COUNTIFS(keyword_comparison[record_identifier],keyword_comparison[[#This Row],[record_identifier]],keyword_comparison[Review],"&lt;&gt;")</f>
        <v>15</v>
      </c>
      <c r="Q155" cm="1">
        <f t="array" ref="Q155">SUMPRODUCT((keyword_comparison[record_identifier]=keyword_comparison[[#This Row],[record_identifier]])*(LEN(keyword_comparison[keyword_matcher_output])&gt;0))</f>
        <v>0</v>
      </c>
    </row>
    <row r="156" spans="1:17" x14ac:dyDescent="0.25">
      <c r="A156" t="s">
        <v>213</v>
      </c>
      <c r="B156" t="s">
        <v>214</v>
      </c>
      <c r="C156" t="s">
        <v>215</v>
      </c>
      <c r="D156" t="s">
        <v>20</v>
      </c>
      <c r="E156" t="s">
        <v>48</v>
      </c>
      <c r="H156" t="s">
        <v>54</v>
      </c>
      <c r="I156" t="s">
        <v>80</v>
      </c>
      <c r="J156" t="s">
        <v>230</v>
      </c>
      <c r="K156" t="s">
        <v>52</v>
      </c>
      <c r="P156">
        <f>COUNTIFS(keyword_comparison[record_identifier],keyword_comparison[[#This Row],[record_identifier]],keyword_comparison[Review],"&lt;&gt;")</f>
        <v>15</v>
      </c>
      <c r="Q156" cm="1">
        <f t="array" ref="Q156">SUMPRODUCT((keyword_comparison[record_identifier]=keyword_comparison[[#This Row],[record_identifier]])*(LEN(keyword_comparison[keyword_matcher_output])&gt;0))</f>
        <v>0</v>
      </c>
    </row>
    <row r="157" spans="1:17" x14ac:dyDescent="0.25">
      <c r="A157" t="s">
        <v>213</v>
      </c>
      <c r="B157" t="s">
        <v>214</v>
      </c>
      <c r="C157" t="s">
        <v>215</v>
      </c>
      <c r="D157" t="s">
        <v>20</v>
      </c>
      <c r="E157" t="s">
        <v>53</v>
      </c>
      <c r="F157" t="s">
        <v>54</v>
      </c>
      <c r="G157" t="s">
        <v>54</v>
      </c>
      <c r="H157" t="s">
        <v>54</v>
      </c>
      <c r="I157" t="s">
        <v>80</v>
      </c>
      <c r="J157" t="s">
        <v>217</v>
      </c>
      <c r="K157" t="s">
        <v>218</v>
      </c>
      <c r="O157">
        <v>1</v>
      </c>
      <c r="P157">
        <f>COUNTIFS(keyword_comparison[record_identifier],keyword_comparison[[#This Row],[record_identifier]],keyword_comparison[Review],"&lt;&gt;")</f>
        <v>15</v>
      </c>
      <c r="Q157" cm="1">
        <f t="array" ref="Q157">SUMPRODUCT((keyword_comparison[record_identifier]=keyword_comparison[[#This Row],[record_identifier]])*(LEN(keyword_comparison[keyword_matcher_output])&gt;0))</f>
        <v>0</v>
      </c>
    </row>
    <row r="158" spans="1:17" x14ac:dyDescent="0.25">
      <c r="A158" t="s">
        <v>213</v>
      </c>
      <c r="B158" t="s">
        <v>214</v>
      </c>
      <c r="C158" t="s">
        <v>215</v>
      </c>
      <c r="D158" t="s">
        <v>20</v>
      </c>
      <c r="E158" t="s">
        <v>53</v>
      </c>
      <c r="F158" t="s">
        <v>54</v>
      </c>
      <c r="G158" t="s">
        <v>54</v>
      </c>
      <c r="H158" t="s">
        <v>54</v>
      </c>
      <c r="I158" t="s">
        <v>88</v>
      </c>
      <c r="J158" t="s">
        <v>231</v>
      </c>
      <c r="K158" t="s">
        <v>232</v>
      </c>
      <c r="O158">
        <v>2</v>
      </c>
      <c r="P158">
        <f>COUNTIFS(keyword_comparison[record_identifier],keyword_comparison[[#This Row],[record_identifier]],keyword_comparison[Review],"&lt;&gt;")</f>
        <v>15</v>
      </c>
      <c r="Q158" cm="1">
        <f t="array" ref="Q158">SUMPRODUCT((keyword_comparison[record_identifier]=keyword_comparison[[#This Row],[record_identifier]])*(LEN(keyword_comparison[keyword_matcher_output])&gt;0))</f>
        <v>0</v>
      </c>
    </row>
    <row r="159" spans="1:17" x14ac:dyDescent="0.25">
      <c r="A159" t="s">
        <v>213</v>
      </c>
      <c r="B159" t="s">
        <v>214</v>
      </c>
      <c r="C159" t="s">
        <v>215</v>
      </c>
      <c r="D159" t="s">
        <v>20</v>
      </c>
      <c r="E159" t="s">
        <v>53</v>
      </c>
      <c r="F159" t="s">
        <v>54</v>
      </c>
      <c r="G159" t="s">
        <v>54</v>
      </c>
      <c r="H159" t="s">
        <v>54</v>
      </c>
      <c r="I159" t="s">
        <v>88</v>
      </c>
      <c r="J159" t="s">
        <v>233</v>
      </c>
      <c r="K159" t="s">
        <v>234</v>
      </c>
      <c r="O159">
        <v>3</v>
      </c>
      <c r="P159">
        <f>COUNTIFS(keyword_comparison[record_identifier],keyword_comparison[[#This Row],[record_identifier]],keyword_comparison[Review],"&lt;&gt;")</f>
        <v>15</v>
      </c>
      <c r="Q159" cm="1">
        <f t="array" ref="Q159">SUMPRODUCT((keyword_comparison[record_identifier]=keyword_comparison[[#This Row],[record_identifier]])*(LEN(keyword_comparison[keyword_matcher_output])&gt;0))</f>
        <v>0</v>
      </c>
    </row>
    <row r="160" spans="1:17" x14ac:dyDescent="0.25">
      <c r="A160" t="s">
        <v>213</v>
      </c>
      <c r="B160" t="s">
        <v>214</v>
      </c>
      <c r="C160" t="s">
        <v>215</v>
      </c>
      <c r="D160" t="s">
        <v>20</v>
      </c>
      <c r="E160" t="s">
        <v>53</v>
      </c>
      <c r="F160" t="s">
        <v>54</v>
      </c>
      <c r="G160" t="s">
        <v>54</v>
      </c>
      <c r="H160" t="s">
        <v>54</v>
      </c>
      <c r="I160" t="s">
        <v>88</v>
      </c>
      <c r="J160" t="s">
        <v>235</v>
      </c>
      <c r="K160" t="s">
        <v>236</v>
      </c>
      <c r="O160">
        <v>4</v>
      </c>
      <c r="P160">
        <f>COUNTIFS(keyword_comparison[record_identifier],keyword_comparison[[#This Row],[record_identifier]],keyword_comparison[Review],"&lt;&gt;")</f>
        <v>15</v>
      </c>
      <c r="Q160" cm="1">
        <f t="array" ref="Q160">SUMPRODUCT((keyword_comparison[record_identifier]=keyword_comparison[[#This Row],[record_identifier]])*(LEN(keyword_comparison[keyword_matcher_output])&gt;0))</f>
        <v>0</v>
      </c>
    </row>
    <row r="161" spans="1:17" x14ac:dyDescent="0.25">
      <c r="A161" t="s">
        <v>213</v>
      </c>
      <c r="B161" t="s">
        <v>214</v>
      </c>
      <c r="C161" t="s">
        <v>215</v>
      </c>
      <c r="D161" t="s">
        <v>20</v>
      </c>
      <c r="E161" t="s">
        <v>53</v>
      </c>
      <c r="F161" t="s">
        <v>54</v>
      </c>
      <c r="G161" t="s">
        <v>54</v>
      </c>
      <c r="H161" t="s">
        <v>54</v>
      </c>
      <c r="I161" t="s">
        <v>80</v>
      </c>
      <c r="J161" t="s">
        <v>237</v>
      </c>
      <c r="K161" t="s">
        <v>238</v>
      </c>
      <c r="O161">
        <v>5</v>
      </c>
      <c r="P161">
        <f>COUNTIFS(keyword_comparison[record_identifier],keyword_comparison[[#This Row],[record_identifier]],keyword_comparison[Review],"&lt;&gt;")</f>
        <v>15</v>
      </c>
      <c r="Q161" cm="1">
        <f t="array" ref="Q161">SUMPRODUCT((keyword_comparison[record_identifier]=keyword_comparison[[#This Row],[record_identifier]])*(LEN(keyword_comparison[keyword_matcher_output])&gt;0))</f>
        <v>0</v>
      </c>
    </row>
    <row r="162" spans="1:17" x14ac:dyDescent="0.25">
      <c r="A162" t="s">
        <v>213</v>
      </c>
      <c r="B162" t="s">
        <v>214</v>
      </c>
      <c r="C162" t="s">
        <v>215</v>
      </c>
      <c r="D162" t="s">
        <v>20</v>
      </c>
      <c r="E162" t="s">
        <v>53</v>
      </c>
      <c r="F162" t="s">
        <v>54</v>
      </c>
      <c r="G162" t="s">
        <v>54</v>
      </c>
      <c r="H162" t="s">
        <v>54</v>
      </c>
      <c r="I162" t="s">
        <v>88</v>
      </c>
      <c r="J162" t="s">
        <v>187</v>
      </c>
      <c r="K162" t="s">
        <v>188</v>
      </c>
      <c r="O162">
        <v>6</v>
      </c>
      <c r="P162">
        <f>COUNTIFS(keyword_comparison[record_identifier],keyword_comparison[[#This Row],[record_identifier]],keyword_comparison[Review],"&lt;&gt;")</f>
        <v>15</v>
      </c>
      <c r="Q162" cm="1">
        <f t="array" ref="Q162">SUMPRODUCT((keyword_comparison[record_identifier]=keyword_comparison[[#This Row],[record_identifier]])*(LEN(keyword_comparison[keyword_matcher_output])&gt;0))</f>
        <v>0</v>
      </c>
    </row>
    <row r="163" spans="1:17" x14ac:dyDescent="0.25">
      <c r="A163" t="s">
        <v>213</v>
      </c>
      <c r="B163" t="s">
        <v>214</v>
      </c>
      <c r="C163" t="s">
        <v>215</v>
      </c>
      <c r="D163" t="s">
        <v>20</v>
      </c>
      <c r="E163" t="s">
        <v>53</v>
      </c>
      <c r="F163" t="s">
        <v>54</v>
      </c>
      <c r="G163" t="s">
        <v>54</v>
      </c>
      <c r="H163" t="s">
        <v>54</v>
      </c>
      <c r="I163" t="s">
        <v>88</v>
      </c>
      <c r="J163" t="s">
        <v>239</v>
      </c>
      <c r="K163" t="s">
        <v>124</v>
      </c>
      <c r="O163">
        <v>7</v>
      </c>
      <c r="P163">
        <f>COUNTIFS(keyword_comparison[record_identifier],keyword_comparison[[#This Row],[record_identifier]],keyword_comparison[Review],"&lt;&gt;")</f>
        <v>15</v>
      </c>
      <c r="Q163" cm="1">
        <f t="array" ref="Q163">SUMPRODUCT((keyword_comparison[record_identifier]=keyword_comparison[[#This Row],[record_identifier]])*(LEN(keyword_comparison[keyword_matcher_output])&gt;0))</f>
        <v>0</v>
      </c>
    </row>
    <row r="164" spans="1:17" x14ac:dyDescent="0.25">
      <c r="A164" t="s">
        <v>240</v>
      </c>
      <c r="B164" t="s">
        <v>241</v>
      </c>
      <c r="C164" t="s">
        <v>242</v>
      </c>
      <c r="D164" t="s">
        <v>20</v>
      </c>
      <c r="E164" t="s">
        <v>21</v>
      </c>
      <c r="F164" t="s">
        <v>30</v>
      </c>
      <c r="G164" t="s">
        <v>31</v>
      </c>
      <c r="H164" t="s">
        <v>54</v>
      </c>
      <c r="P164">
        <f>COUNTIFS(keyword_comparison[record_identifier],keyword_comparison[[#This Row],[record_identifier]],keyword_comparison[Review],"&lt;&gt;")</f>
        <v>0</v>
      </c>
      <c r="Q164" cm="1">
        <f t="array" ref="Q164">SUMPRODUCT((keyword_comparison[record_identifier]=keyword_comparison[[#This Row],[record_identifier]])*(LEN(keyword_comparison[keyword_matcher_output])&gt;0))</f>
        <v>2</v>
      </c>
    </row>
    <row r="165" spans="1:17" x14ac:dyDescent="0.25">
      <c r="A165" t="s">
        <v>240</v>
      </c>
      <c r="B165" t="s">
        <v>241</v>
      </c>
      <c r="C165" t="s">
        <v>242</v>
      </c>
      <c r="D165" t="s">
        <v>20</v>
      </c>
      <c r="E165" t="s">
        <v>21</v>
      </c>
      <c r="F165" t="s">
        <v>204</v>
      </c>
      <c r="G165" t="s">
        <v>23</v>
      </c>
      <c r="H165" t="s">
        <v>205</v>
      </c>
      <c r="P165">
        <f>COUNTIFS(keyword_comparison[record_identifier],keyword_comparison[[#This Row],[record_identifier]],keyword_comparison[Review],"&lt;&gt;")</f>
        <v>0</v>
      </c>
      <c r="Q165" cm="1">
        <f t="array" ref="Q165">SUMPRODUCT((keyword_comparison[record_identifier]=keyword_comparison[[#This Row],[record_identifier]])*(LEN(keyword_comparison[keyword_matcher_output])&gt;0))</f>
        <v>2</v>
      </c>
    </row>
    <row r="166" spans="1:17" x14ac:dyDescent="0.25">
      <c r="A166" t="s">
        <v>240</v>
      </c>
      <c r="B166" t="s">
        <v>241</v>
      </c>
      <c r="C166" t="s">
        <v>242</v>
      </c>
      <c r="D166" t="s">
        <v>20</v>
      </c>
      <c r="E166" t="s">
        <v>21</v>
      </c>
      <c r="F166" t="s">
        <v>32</v>
      </c>
      <c r="G166" t="s">
        <v>31</v>
      </c>
      <c r="H166" t="s">
        <v>54</v>
      </c>
      <c r="P166">
        <f>COUNTIFS(keyword_comparison[record_identifier],keyword_comparison[[#This Row],[record_identifier]],keyword_comparison[Review],"&lt;&gt;")</f>
        <v>0</v>
      </c>
      <c r="Q166" cm="1">
        <f t="array" ref="Q166">SUMPRODUCT((keyword_comparison[record_identifier]=keyword_comparison[[#This Row],[record_identifier]])*(LEN(keyword_comparison[keyword_matcher_output])&gt;0))</f>
        <v>2</v>
      </c>
    </row>
    <row r="167" spans="1:17" x14ac:dyDescent="0.25">
      <c r="A167" t="s">
        <v>240</v>
      </c>
      <c r="B167" t="s">
        <v>241</v>
      </c>
      <c r="C167" t="s">
        <v>242</v>
      </c>
      <c r="D167" t="s">
        <v>20</v>
      </c>
      <c r="E167" t="s">
        <v>21</v>
      </c>
      <c r="F167" t="s">
        <v>243</v>
      </c>
      <c r="G167" t="s">
        <v>23</v>
      </c>
      <c r="H167" t="s">
        <v>54</v>
      </c>
      <c r="P167">
        <f>COUNTIFS(keyword_comparison[record_identifier],keyword_comparison[[#This Row],[record_identifier]],keyword_comparison[Review],"&lt;&gt;")</f>
        <v>0</v>
      </c>
      <c r="Q167" cm="1">
        <f t="array" ref="Q167">SUMPRODUCT((keyword_comparison[record_identifier]=keyword_comparison[[#This Row],[record_identifier]])*(LEN(keyword_comparison[keyword_matcher_output])&gt;0))</f>
        <v>2</v>
      </c>
    </row>
    <row r="168" spans="1:17" x14ac:dyDescent="0.25">
      <c r="A168" t="s">
        <v>240</v>
      </c>
      <c r="B168" t="s">
        <v>241</v>
      </c>
      <c r="C168" t="s">
        <v>242</v>
      </c>
      <c r="D168" t="s">
        <v>20</v>
      </c>
      <c r="E168" t="s">
        <v>21</v>
      </c>
      <c r="F168" t="s">
        <v>74</v>
      </c>
      <c r="G168" t="s">
        <v>72</v>
      </c>
      <c r="H168" t="s">
        <v>54</v>
      </c>
      <c r="P168">
        <f>COUNTIFS(keyword_comparison[record_identifier],keyword_comparison[[#This Row],[record_identifier]],keyword_comparison[Review],"&lt;&gt;")</f>
        <v>0</v>
      </c>
      <c r="Q168" cm="1">
        <f t="array" ref="Q168">SUMPRODUCT((keyword_comparison[record_identifier]=keyword_comparison[[#This Row],[record_identifier]])*(LEN(keyword_comparison[keyword_matcher_output])&gt;0))</f>
        <v>2</v>
      </c>
    </row>
    <row r="169" spans="1:17" x14ac:dyDescent="0.25">
      <c r="A169" t="s">
        <v>240</v>
      </c>
      <c r="B169" t="s">
        <v>241</v>
      </c>
      <c r="C169" t="s">
        <v>242</v>
      </c>
      <c r="D169" t="s">
        <v>20</v>
      </c>
      <c r="E169" t="s">
        <v>21</v>
      </c>
      <c r="F169" t="s">
        <v>244</v>
      </c>
      <c r="G169" t="s">
        <v>72</v>
      </c>
      <c r="H169" t="s">
        <v>54</v>
      </c>
      <c r="P169">
        <f>COUNTIFS(keyword_comparison[record_identifier],keyword_comparison[[#This Row],[record_identifier]],keyword_comparison[Review],"&lt;&gt;")</f>
        <v>0</v>
      </c>
      <c r="Q169" cm="1">
        <f t="array" ref="Q169">SUMPRODUCT((keyword_comparison[record_identifier]=keyword_comparison[[#This Row],[record_identifier]])*(LEN(keyword_comparison[keyword_matcher_output])&gt;0))</f>
        <v>2</v>
      </c>
    </row>
    <row r="170" spans="1:17" x14ac:dyDescent="0.25">
      <c r="A170" t="s">
        <v>240</v>
      </c>
      <c r="B170" t="s">
        <v>241</v>
      </c>
      <c r="C170" t="s">
        <v>242</v>
      </c>
      <c r="D170" t="s">
        <v>20</v>
      </c>
      <c r="E170" t="s">
        <v>21</v>
      </c>
      <c r="F170" t="s">
        <v>71</v>
      </c>
      <c r="G170" t="s">
        <v>72</v>
      </c>
      <c r="H170" t="s">
        <v>54</v>
      </c>
      <c r="P170">
        <f>COUNTIFS(keyword_comparison[record_identifier],keyword_comparison[[#This Row],[record_identifier]],keyword_comparison[Review],"&lt;&gt;")</f>
        <v>0</v>
      </c>
      <c r="Q170" cm="1">
        <f t="array" ref="Q170">SUMPRODUCT((keyword_comparison[record_identifier]=keyword_comparison[[#This Row],[record_identifier]])*(LEN(keyword_comparison[keyword_matcher_output])&gt;0))</f>
        <v>2</v>
      </c>
    </row>
    <row r="171" spans="1:17" x14ac:dyDescent="0.25">
      <c r="A171" t="s">
        <v>240</v>
      </c>
      <c r="B171" t="s">
        <v>241</v>
      </c>
      <c r="C171" t="s">
        <v>242</v>
      </c>
      <c r="D171" t="s">
        <v>20</v>
      </c>
      <c r="E171" t="s">
        <v>21</v>
      </c>
      <c r="F171" t="s">
        <v>245</v>
      </c>
      <c r="G171" t="s">
        <v>23</v>
      </c>
      <c r="H171" t="s">
        <v>54</v>
      </c>
      <c r="P171">
        <f>COUNTIFS(keyword_comparison[record_identifier],keyword_comparison[[#This Row],[record_identifier]],keyword_comparison[Review],"&lt;&gt;")</f>
        <v>0</v>
      </c>
      <c r="Q171" cm="1">
        <f t="array" ref="Q171">SUMPRODUCT((keyword_comparison[record_identifier]=keyword_comparison[[#This Row],[record_identifier]])*(LEN(keyword_comparison[keyword_matcher_output])&gt;0))</f>
        <v>2</v>
      </c>
    </row>
    <row r="172" spans="1:17" x14ac:dyDescent="0.25">
      <c r="A172" t="s">
        <v>240</v>
      </c>
      <c r="B172" t="s">
        <v>241</v>
      </c>
      <c r="C172" t="s">
        <v>242</v>
      </c>
      <c r="D172" t="s">
        <v>20</v>
      </c>
      <c r="E172" t="s">
        <v>21</v>
      </c>
      <c r="F172" t="s">
        <v>246</v>
      </c>
      <c r="G172" t="s">
        <v>23</v>
      </c>
      <c r="H172" t="s">
        <v>54</v>
      </c>
      <c r="P172">
        <f>COUNTIFS(keyword_comparison[record_identifier],keyword_comparison[[#This Row],[record_identifier]],keyword_comparison[Review],"&lt;&gt;")</f>
        <v>0</v>
      </c>
      <c r="Q172" cm="1">
        <f t="array" ref="Q172">SUMPRODUCT((keyword_comparison[record_identifier]=keyword_comparison[[#This Row],[record_identifier]])*(LEN(keyword_comparison[keyword_matcher_output])&gt;0))</f>
        <v>2</v>
      </c>
    </row>
    <row r="173" spans="1:17" x14ac:dyDescent="0.25">
      <c r="A173" t="s">
        <v>240</v>
      </c>
      <c r="B173" t="s">
        <v>241</v>
      </c>
      <c r="C173" t="s">
        <v>242</v>
      </c>
      <c r="D173" t="s">
        <v>20</v>
      </c>
      <c r="E173" t="s">
        <v>21</v>
      </c>
      <c r="F173" t="s">
        <v>207</v>
      </c>
      <c r="G173" t="s">
        <v>23</v>
      </c>
      <c r="H173" t="s">
        <v>208</v>
      </c>
      <c r="P173">
        <f>COUNTIFS(keyword_comparison[record_identifier],keyword_comparison[[#This Row],[record_identifier]],keyword_comparison[Review],"&lt;&gt;")</f>
        <v>0</v>
      </c>
      <c r="Q173" cm="1">
        <f t="array" ref="Q173">SUMPRODUCT((keyword_comparison[record_identifier]=keyword_comparison[[#This Row],[record_identifier]])*(LEN(keyword_comparison[keyword_matcher_output])&gt;0))</f>
        <v>2</v>
      </c>
    </row>
    <row r="174" spans="1:17" x14ac:dyDescent="0.25">
      <c r="A174" t="s">
        <v>240</v>
      </c>
      <c r="B174" t="s">
        <v>241</v>
      </c>
      <c r="C174" t="s">
        <v>242</v>
      </c>
      <c r="D174" t="s">
        <v>20</v>
      </c>
      <c r="E174" t="s">
        <v>21</v>
      </c>
      <c r="F174" t="s">
        <v>247</v>
      </c>
      <c r="G174" t="s">
        <v>23</v>
      </c>
      <c r="H174" t="s">
        <v>54</v>
      </c>
      <c r="P174">
        <f>COUNTIFS(keyword_comparison[record_identifier],keyword_comparison[[#This Row],[record_identifier]],keyword_comparison[Review],"&lt;&gt;")</f>
        <v>0</v>
      </c>
      <c r="Q174" cm="1">
        <f t="array" ref="Q174">SUMPRODUCT((keyword_comparison[record_identifier]=keyword_comparison[[#This Row],[record_identifier]])*(LEN(keyword_comparison[keyword_matcher_output])&gt;0))</f>
        <v>2</v>
      </c>
    </row>
    <row r="175" spans="1:17" x14ac:dyDescent="0.25">
      <c r="A175" t="s">
        <v>240</v>
      </c>
      <c r="B175" t="s">
        <v>241</v>
      </c>
      <c r="C175" t="s">
        <v>242</v>
      </c>
      <c r="D175" t="s">
        <v>20</v>
      </c>
      <c r="E175" t="s">
        <v>21</v>
      </c>
      <c r="F175" t="s">
        <v>216</v>
      </c>
      <c r="G175" t="s">
        <v>72</v>
      </c>
      <c r="H175" t="s">
        <v>54</v>
      </c>
      <c r="P175">
        <f>COUNTIFS(keyword_comparison[record_identifier],keyword_comparison[[#This Row],[record_identifier]],keyword_comparison[Review],"&lt;&gt;")</f>
        <v>0</v>
      </c>
      <c r="Q175" cm="1">
        <f t="array" ref="Q175">SUMPRODUCT((keyword_comparison[record_identifier]=keyword_comparison[[#This Row],[record_identifier]])*(LEN(keyword_comparison[keyword_matcher_output])&gt;0))</f>
        <v>2</v>
      </c>
    </row>
    <row r="176" spans="1:17" x14ac:dyDescent="0.25">
      <c r="A176" t="s">
        <v>240</v>
      </c>
      <c r="B176" t="s">
        <v>241</v>
      </c>
      <c r="C176" t="s">
        <v>242</v>
      </c>
      <c r="D176" t="s">
        <v>20</v>
      </c>
      <c r="E176" t="s">
        <v>33</v>
      </c>
      <c r="H176" t="s">
        <v>54</v>
      </c>
      <c r="J176" t="s">
        <v>89</v>
      </c>
      <c r="K176" t="s">
        <v>90</v>
      </c>
      <c r="M176">
        <v>0.89510000000000001</v>
      </c>
      <c r="N176">
        <v>1</v>
      </c>
      <c r="P176">
        <f>COUNTIFS(keyword_comparison[record_identifier],keyword_comparison[[#This Row],[record_identifier]],keyword_comparison[Review],"&lt;&gt;")</f>
        <v>0</v>
      </c>
      <c r="Q176" cm="1">
        <f t="array" ref="Q176">SUMPRODUCT((keyword_comparison[record_identifier]=keyword_comparison[[#This Row],[record_identifier]])*(LEN(keyword_comparison[keyword_matcher_output])&gt;0))</f>
        <v>2</v>
      </c>
    </row>
    <row r="177" spans="1:17" x14ac:dyDescent="0.25">
      <c r="A177" t="s">
        <v>240</v>
      </c>
      <c r="B177" t="s">
        <v>241</v>
      </c>
      <c r="C177" t="s">
        <v>242</v>
      </c>
      <c r="D177" t="s">
        <v>20</v>
      </c>
      <c r="E177" t="s">
        <v>33</v>
      </c>
      <c r="H177" t="s">
        <v>54</v>
      </c>
      <c r="J177" t="s">
        <v>248</v>
      </c>
      <c r="K177" t="s">
        <v>249</v>
      </c>
      <c r="M177">
        <v>0.31430000000000002</v>
      </c>
      <c r="N177">
        <v>2</v>
      </c>
      <c r="P177">
        <f>COUNTIFS(keyword_comparison[record_identifier],keyword_comparison[[#This Row],[record_identifier]],keyword_comparison[Review],"&lt;&gt;")</f>
        <v>0</v>
      </c>
      <c r="Q177" cm="1">
        <f t="array" ref="Q177">SUMPRODUCT((keyword_comparison[record_identifier]=keyword_comparison[[#This Row],[record_identifier]])*(LEN(keyword_comparison[keyword_matcher_output])&gt;0))</f>
        <v>2</v>
      </c>
    </row>
    <row r="178" spans="1:17" x14ac:dyDescent="0.25">
      <c r="A178" t="s">
        <v>240</v>
      </c>
      <c r="B178" t="s">
        <v>241</v>
      </c>
      <c r="C178" t="s">
        <v>242</v>
      </c>
      <c r="D178" t="s">
        <v>20</v>
      </c>
      <c r="E178" t="s">
        <v>33</v>
      </c>
      <c r="H178" t="s">
        <v>54</v>
      </c>
      <c r="J178" t="s">
        <v>191</v>
      </c>
      <c r="K178" t="s">
        <v>192</v>
      </c>
      <c r="M178">
        <v>0.312</v>
      </c>
      <c r="N178">
        <v>3</v>
      </c>
      <c r="P178">
        <f>COUNTIFS(keyword_comparison[record_identifier],keyword_comparison[[#This Row],[record_identifier]],keyword_comparison[Review],"&lt;&gt;")</f>
        <v>0</v>
      </c>
      <c r="Q178" cm="1">
        <f t="array" ref="Q178">SUMPRODUCT((keyword_comparison[record_identifier]=keyword_comparison[[#This Row],[record_identifier]])*(LEN(keyword_comparison[keyword_matcher_output])&gt;0))</f>
        <v>2</v>
      </c>
    </row>
    <row r="179" spans="1:17" x14ac:dyDescent="0.25">
      <c r="A179" t="s">
        <v>240</v>
      </c>
      <c r="B179" t="s">
        <v>241</v>
      </c>
      <c r="C179" t="s">
        <v>242</v>
      </c>
      <c r="D179" t="s">
        <v>20</v>
      </c>
      <c r="E179" t="s">
        <v>33</v>
      </c>
      <c r="H179" t="s">
        <v>54</v>
      </c>
      <c r="J179" t="s">
        <v>207</v>
      </c>
      <c r="K179" t="s">
        <v>208</v>
      </c>
      <c r="M179">
        <v>0.1651</v>
      </c>
      <c r="N179">
        <v>4</v>
      </c>
      <c r="P179">
        <f>COUNTIFS(keyword_comparison[record_identifier],keyword_comparison[[#This Row],[record_identifier]],keyword_comparison[Review],"&lt;&gt;")</f>
        <v>0</v>
      </c>
      <c r="Q179" cm="1">
        <f t="array" ref="Q179">SUMPRODUCT((keyword_comparison[record_identifier]=keyword_comparison[[#This Row],[record_identifier]])*(LEN(keyword_comparison[keyword_matcher_output])&gt;0))</f>
        <v>2</v>
      </c>
    </row>
    <row r="180" spans="1:17" x14ac:dyDescent="0.25">
      <c r="A180" t="s">
        <v>240</v>
      </c>
      <c r="B180" t="s">
        <v>241</v>
      </c>
      <c r="C180" t="s">
        <v>242</v>
      </c>
      <c r="D180" t="s">
        <v>20</v>
      </c>
      <c r="E180" t="s">
        <v>33</v>
      </c>
      <c r="H180" t="s">
        <v>54</v>
      </c>
      <c r="J180" t="s">
        <v>250</v>
      </c>
      <c r="K180" t="s">
        <v>251</v>
      </c>
      <c r="M180">
        <v>0.15859999999999999</v>
      </c>
      <c r="N180">
        <v>5</v>
      </c>
      <c r="P180">
        <f>COUNTIFS(keyword_comparison[record_identifier],keyword_comparison[[#This Row],[record_identifier]],keyword_comparison[Review],"&lt;&gt;")</f>
        <v>0</v>
      </c>
      <c r="Q180" cm="1">
        <f t="array" ref="Q180">SUMPRODUCT((keyword_comparison[record_identifier]=keyword_comparison[[#This Row],[record_identifier]])*(LEN(keyword_comparison[keyword_matcher_output])&gt;0))</f>
        <v>2</v>
      </c>
    </row>
    <row r="181" spans="1:17" x14ac:dyDescent="0.25">
      <c r="A181" t="s">
        <v>240</v>
      </c>
      <c r="B181" t="s">
        <v>241</v>
      </c>
      <c r="C181" t="s">
        <v>242</v>
      </c>
      <c r="D181" t="s">
        <v>20</v>
      </c>
      <c r="E181" t="s">
        <v>33</v>
      </c>
      <c r="H181" t="s">
        <v>54</v>
      </c>
      <c r="J181" t="s">
        <v>193</v>
      </c>
      <c r="K181" t="s">
        <v>194</v>
      </c>
      <c r="M181">
        <v>0.1139</v>
      </c>
      <c r="N181">
        <v>6</v>
      </c>
      <c r="P181">
        <f>COUNTIFS(keyword_comparison[record_identifier],keyword_comparison[[#This Row],[record_identifier]],keyword_comparison[Review],"&lt;&gt;")</f>
        <v>0</v>
      </c>
      <c r="Q181" cm="1">
        <f t="array" ref="Q181">SUMPRODUCT((keyword_comparison[record_identifier]=keyword_comparison[[#This Row],[record_identifier]])*(LEN(keyword_comparison[keyword_matcher_output])&gt;0))</f>
        <v>2</v>
      </c>
    </row>
    <row r="182" spans="1:17" x14ac:dyDescent="0.25">
      <c r="A182" t="s">
        <v>240</v>
      </c>
      <c r="B182" t="s">
        <v>241</v>
      </c>
      <c r="C182" t="s">
        <v>242</v>
      </c>
      <c r="D182" t="s">
        <v>20</v>
      </c>
      <c r="E182" t="s">
        <v>48</v>
      </c>
      <c r="H182" t="s">
        <v>54</v>
      </c>
      <c r="J182" t="s">
        <v>252</v>
      </c>
      <c r="K182" t="s">
        <v>183</v>
      </c>
      <c r="P182">
        <f>COUNTIFS(keyword_comparison[record_identifier],keyword_comparison[[#This Row],[record_identifier]],keyword_comparison[Review],"&lt;&gt;")</f>
        <v>0</v>
      </c>
      <c r="Q182" cm="1">
        <f t="array" ref="Q182">SUMPRODUCT((keyword_comparison[record_identifier]=keyword_comparison[[#This Row],[record_identifier]])*(LEN(keyword_comparison[keyword_matcher_output])&gt;0))</f>
        <v>2</v>
      </c>
    </row>
    <row r="183" spans="1:17" x14ac:dyDescent="0.25">
      <c r="A183" t="s">
        <v>240</v>
      </c>
      <c r="B183" t="s">
        <v>241</v>
      </c>
      <c r="C183" t="s">
        <v>242</v>
      </c>
      <c r="D183" t="s">
        <v>20</v>
      </c>
      <c r="E183" t="s">
        <v>48</v>
      </c>
      <c r="H183" t="s">
        <v>54</v>
      </c>
      <c r="J183" t="s">
        <v>207</v>
      </c>
      <c r="K183" t="s">
        <v>208</v>
      </c>
      <c r="P183">
        <f>COUNTIFS(keyword_comparison[record_identifier],keyword_comparison[[#This Row],[record_identifier]],keyword_comparison[Review],"&lt;&gt;")</f>
        <v>0</v>
      </c>
      <c r="Q183" cm="1">
        <f t="array" ref="Q183">SUMPRODUCT((keyword_comparison[record_identifier]=keyword_comparison[[#This Row],[record_identifier]])*(LEN(keyword_comparison[keyword_matcher_output])&gt;0))</f>
        <v>2</v>
      </c>
    </row>
    <row r="184" spans="1:17" x14ac:dyDescent="0.25">
      <c r="A184" t="s">
        <v>240</v>
      </c>
      <c r="B184" t="s">
        <v>241</v>
      </c>
      <c r="C184" t="s">
        <v>242</v>
      </c>
      <c r="D184" t="s">
        <v>20</v>
      </c>
      <c r="E184" t="s">
        <v>48</v>
      </c>
      <c r="H184" t="s">
        <v>54</v>
      </c>
      <c r="J184" t="s">
        <v>204</v>
      </c>
      <c r="K184" t="s">
        <v>205</v>
      </c>
      <c r="L184" t="b">
        <v>1</v>
      </c>
      <c r="P184">
        <f>COUNTIFS(keyword_comparison[record_identifier],keyword_comparison[[#This Row],[record_identifier]],keyword_comparison[Review],"&lt;&gt;")</f>
        <v>0</v>
      </c>
      <c r="Q184" cm="1">
        <f t="array" ref="Q184">SUMPRODUCT((keyword_comparison[record_identifier]=keyword_comparison[[#This Row],[record_identifier]])*(LEN(keyword_comparison[keyword_matcher_output])&gt;0))</f>
        <v>2</v>
      </c>
    </row>
    <row r="185" spans="1:17" x14ac:dyDescent="0.25">
      <c r="A185" t="s">
        <v>240</v>
      </c>
      <c r="B185" t="s">
        <v>241</v>
      </c>
      <c r="C185" t="s">
        <v>242</v>
      </c>
      <c r="D185" t="s">
        <v>20</v>
      </c>
      <c r="E185" t="s">
        <v>48</v>
      </c>
      <c r="H185" t="s">
        <v>54</v>
      </c>
      <c r="J185" t="s">
        <v>253</v>
      </c>
      <c r="K185" t="s">
        <v>254</v>
      </c>
      <c r="P185">
        <f>COUNTIFS(keyword_comparison[record_identifier],keyword_comparison[[#This Row],[record_identifier]],keyword_comparison[Review],"&lt;&gt;")</f>
        <v>0</v>
      </c>
      <c r="Q185" cm="1">
        <f t="array" ref="Q185">SUMPRODUCT((keyword_comparison[record_identifier]=keyword_comparison[[#This Row],[record_identifier]])*(LEN(keyword_comparison[keyword_matcher_output])&gt;0))</f>
        <v>2</v>
      </c>
    </row>
    <row r="186" spans="1:17" x14ac:dyDescent="0.25">
      <c r="A186" t="s">
        <v>240</v>
      </c>
      <c r="B186" t="s">
        <v>241</v>
      </c>
      <c r="C186" t="s">
        <v>242</v>
      </c>
      <c r="D186" t="s">
        <v>20</v>
      </c>
      <c r="E186" t="s">
        <v>48</v>
      </c>
      <c r="H186" t="s">
        <v>54</v>
      </c>
      <c r="J186" t="s">
        <v>195</v>
      </c>
      <c r="K186" t="s">
        <v>196</v>
      </c>
      <c r="P186">
        <f>COUNTIFS(keyword_comparison[record_identifier],keyword_comparison[[#This Row],[record_identifier]],keyword_comparison[Review],"&lt;&gt;")</f>
        <v>0</v>
      </c>
      <c r="Q186" cm="1">
        <f t="array" ref="Q186">SUMPRODUCT((keyword_comparison[record_identifier]=keyword_comparison[[#This Row],[record_identifier]])*(LEN(keyword_comparison[keyword_matcher_output])&gt;0))</f>
        <v>2</v>
      </c>
    </row>
    <row r="187" spans="1:17" x14ac:dyDescent="0.25">
      <c r="A187" t="s">
        <v>240</v>
      </c>
      <c r="B187" t="s">
        <v>241</v>
      </c>
      <c r="C187" t="s">
        <v>242</v>
      </c>
      <c r="D187" t="s">
        <v>20</v>
      </c>
      <c r="E187" t="s">
        <v>48</v>
      </c>
      <c r="H187" t="s">
        <v>54</v>
      </c>
      <c r="J187" t="s">
        <v>84</v>
      </c>
      <c r="K187" t="s">
        <v>85</v>
      </c>
      <c r="P187">
        <f>COUNTIFS(keyword_comparison[record_identifier],keyword_comparison[[#This Row],[record_identifier]],keyword_comparison[Review],"&lt;&gt;")</f>
        <v>0</v>
      </c>
      <c r="Q187" cm="1">
        <f t="array" ref="Q187">SUMPRODUCT((keyword_comparison[record_identifier]=keyword_comparison[[#This Row],[record_identifier]])*(LEN(keyword_comparison[keyword_matcher_output])&gt;0))</f>
        <v>2</v>
      </c>
    </row>
    <row r="188" spans="1:17" x14ac:dyDescent="0.25">
      <c r="A188" t="s">
        <v>240</v>
      </c>
      <c r="B188" t="s">
        <v>241</v>
      </c>
      <c r="C188" t="s">
        <v>242</v>
      </c>
      <c r="D188" t="s">
        <v>20</v>
      </c>
      <c r="E188" t="s">
        <v>48</v>
      </c>
      <c r="H188" t="s">
        <v>54</v>
      </c>
      <c r="J188" t="s">
        <v>255</v>
      </c>
      <c r="K188" t="s">
        <v>256</v>
      </c>
      <c r="P188">
        <f>COUNTIFS(keyword_comparison[record_identifier],keyword_comparison[[#This Row],[record_identifier]],keyword_comparison[Review],"&lt;&gt;")</f>
        <v>0</v>
      </c>
      <c r="Q188" cm="1">
        <f t="array" ref="Q188">SUMPRODUCT((keyword_comparison[record_identifier]=keyword_comparison[[#This Row],[record_identifier]])*(LEN(keyword_comparison[keyword_matcher_output])&gt;0))</f>
        <v>2</v>
      </c>
    </row>
    <row r="189" spans="1:17" x14ac:dyDescent="0.25">
      <c r="A189" t="s">
        <v>240</v>
      </c>
      <c r="B189" t="s">
        <v>241</v>
      </c>
      <c r="C189" t="s">
        <v>242</v>
      </c>
      <c r="D189" t="s">
        <v>20</v>
      </c>
      <c r="E189" t="s">
        <v>48</v>
      </c>
      <c r="H189" t="s">
        <v>54</v>
      </c>
      <c r="J189" t="s">
        <v>49</v>
      </c>
      <c r="K189" t="s">
        <v>50</v>
      </c>
      <c r="P189">
        <f>COUNTIFS(keyword_comparison[record_identifier],keyword_comparison[[#This Row],[record_identifier]],keyword_comparison[Review],"&lt;&gt;")</f>
        <v>0</v>
      </c>
      <c r="Q189" cm="1">
        <f t="array" ref="Q189">SUMPRODUCT((keyword_comparison[record_identifier]=keyword_comparison[[#This Row],[record_identifier]])*(LEN(keyword_comparison[keyword_matcher_output])&gt;0))</f>
        <v>2</v>
      </c>
    </row>
    <row r="190" spans="1:17" x14ac:dyDescent="0.25">
      <c r="A190" t="s">
        <v>240</v>
      </c>
      <c r="B190" t="s">
        <v>241</v>
      </c>
      <c r="C190" t="s">
        <v>242</v>
      </c>
      <c r="D190" t="s">
        <v>20</v>
      </c>
      <c r="E190" t="s">
        <v>48</v>
      </c>
      <c r="H190" t="s">
        <v>54</v>
      </c>
      <c r="J190" t="s">
        <v>257</v>
      </c>
      <c r="K190" t="s">
        <v>205</v>
      </c>
      <c r="L190" t="b">
        <v>1</v>
      </c>
      <c r="P190">
        <f>COUNTIFS(keyword_comparison[record_identifier],keyword_comparison[[#This Row],[record_identifier]],keyword_comparison[Review],"&lt;&gt;")</f>
        <v>0</v>
      </c>
      <c r="Q190" cm="1">
        <f t="array" ref="Q190">SUMPRODUCT((keyword_comparison[record_identifier]=keyword_comparison[[#This Row],[record_identifier]])*(LEN(keyword_comparison[keyword_matcher_output])&gt;0))</f>
        <v>2</v>
      </c>
    </row>
    <row r="191" spans="1:17" x14ac:dyDescent="0.25">
      <c r="A191" t="s">
        <v>240</v>
      </c>
      <c r="B191" t="s">
        <v>241</v>
      </c>
      <c r="C191" t="s">
        <v>242</v>
      </c>
      <c r="D191" t="s">
        <v>20</v>
      </c>
      <c r="E191" t="s">
        <v>53</v>
      </c>
      <c r="F191" t="s">
        <v>54</v>
      </c>
      <c r="G191" t="s">
        <v>54</v>
      </c>
      <c r="H191" t="s">
        <v>54</v>
      </c>
      <c r="J191" t="s">
        <v>207</v>
      </c>
      <c r="K191" t="s">
        <v>208</v>
      </c>
      <c r="O191">
        <v>1</v>
      </c>
      <c r="P191">
        <f>COUNTIFS(keyword_comparison[record_identifier],keyword_comparison[[#This Row],[record_identifier]],keyword_comparison[Review],"&lt;&gt;")</f>
        <v>0</v>
      </c>
      <c r="Q191" cm="1">
        <f t="array" ref="Q191">SUMPRODUCT((keyword_comparison[record_identifier]=keyword_comparison[[#This Row],[record_identifier]])*(LEN(keyword_comparison[keyword_matcher_output])&gt;0))</f>
        <v>2</v>
      </c>
    </row>
    <row r="192" spans="1:17" x14ac:dyDescent="0.25">
      <c r="A192" t="s">
        <v>240</v>
      </c>
      <c r="B192" t="s">
        <v>241</v>
      </c>
      <c r="C192" t="s">
        <v>242</v>
      </c>
      <c r="D192" t="s">
        <v>20</v>
      </c>
      <c r="E192" t="s">
        <v>53</v>
      </c>
      <c r="F192" t="s">
        <v>54</v>
      </c>
      <c r="G192" t="s">
        <v>54</v>
      </c>
      <c r="H192" t="s">
        <v>54</v>
      </c>
      <c r="J192" t="s">
        <v>204</v>
      </c>
      <c r="K192" t="s">
        <v>205</v>
      </c>
      <c r="O192">
        <v>2</v>
      </c>
      <c r="P192">
        <f>COUNTIFS(keyword_comparison[record_identifier],keyword_comparison[[#This Row],[record_identifier]],keyword_comparison[Review],"&lt;&gt;")</f>
        <v>0</v>
      </c>
      <c r="Q192" cm="1">
        <f t="array" ref="Q192">SUMPRODUCT((keyword_comparison[record_identifier]=keyword_comparison[[#This Row],[record_identifier]])*(LEN(keyword_comparison[keyword_matcher_output])&gt;0))</f>
        <v>2</v>
      </c>
    </row>
    <row r="193" spans="1:17" x14ac:dyDescent="0.25">
      <c r="A193" t="s">
        <v>240</v>
      </c>
      <c r="B193" t="s">
        <v>241</v>
      </c>
      <c r="C193" t="s">
        <v>242</v>
      </c>
      <c r="D193" t="s">
        <v>20</v>
      </c>
      <c r="E193" t="s">
        <v>53</v>
      </c>
      <c r="F193" t="s">
        <v>54</v>
      </c>
      <c r="G193" t="s">
        <v>54</v>
      </c>
      <c r="H193" t="s">
        <v>54</v>
      </c>
      <c r="J193" t="s">
        <v>258</v>
      </c>
      <c r="K193" t="s">
        <v>259</v>
      </c>
      <c r="O193">
        <v>3</v>
      </c>
      <c r="P193">
        <f>COUNTIFS(keyword_comparison[record_identifier],keyword_comparison[[#This Row],[record_identifier]],keyword_comparison[Review],"&lt;&gt;")</f>
        <v>0</v>
      </c>
      <c r="Q193" cm="1">
        <f t="array" ref="Q193">SUMPRODUCT((keyword_comparison[record_identifier]=keyword_comparison[[#This Row],[record_identifier]])*(LEN(keyword_comparison[keyword_matcher_output])&gt;0))</f>
        <v>2</v>
      </c>
    </row>
    <row r="194" spans="1:17" x14ac:dyDescent="0.25">
      <c r="A194" t="s">
        <v>240</v>
      </c>
      <c r="B194" t="s">
        <v>241</v>
      </c>
      <c r="C194" t="s">
        <v>242</v>
      </c>
      <c r="D194" t="s">
        <v>20</v>
      </c>
      <c r="E194" t="s">
        <v>53</v>
      </c>
      <c r="F194" t="s">
        <v>54</v>
      </c>
      <c r="G194" t="s">
        <v>54</v>
      </c>
      <c r="H194" t="s">
        <v>54</v>
      </c>
      <c r="J194" t="s">
        <v>260</v>
      </c>
      <c r="K194" t="s">
        <v>261</v>
      </c>
      <c r="O194">
        <v>4</v>
      </c>
      <c r="P194">
        <f>COUNTIFS(keyword_comparison[record_identifier],keyword_comparison[[#This Row],[record_identifier]],keyword_comparison[Review],"&lt;&gt;")</f>
        <v>0</v>
      </c>
      <c r="Q194" cm="1">
        <f t="array" ref="Q194">SUMPRODUCT((keyword_comparison[record_identifier]=keyword_comparison[[#This Row],[record_identifier]])*(LEN(keyword_comparison[keyword_matcher_output])&gt;0))</f>
        <v>2</v>
      </c>
    </row>
    <row r="195" spans="1:17" x14ac:dyDescent="0.25">
      <c r="A195" t="s">
        <v>240</v>
      </c>
      <c r="B195" t="s">
        <v>241</v>
      </c>
      <c r="C195" t="s">
        <v>242</v>
      </c>
      <c r="D195" t="s">
        <v>20</v>
      </c>
      <c r="E195" t="s">
        <v>53</v>
      </c>
      <c r="F195" t="s">
        <v>54</v>
      </c>
      <c r="G195" t="s">
        <v>54</v>
      </c>
      <c r="H195" t="s">
        <v>54</v>
      </c>
      <c r="J195" t="s">
        <v>253</v>
      </c>
      <c r="K195" t="s">
        <v>254</v>
      </c>
      <c r="O195">
        <v>5</v>
      </c>
      <c r="P195">
        <f>COUNTIFS(keyword_comparison[record_identifier],keyword_comparison[[#This Row],[record_identifier]],keyword_comparison[Review],"&lt;&gt;")</f>
        <v>0</v>
      </c>
      <c r="Q195" cm="1">
        <f t="array" ref="Q195">SUMPRODUCT((keyword_comparison[record_identifier]=keyword_comparison[[#This Row],[record_identifier]])*(LEN(keyword_comparison[keyword_matcher_output])&gt;0))</f>
        <v>2</v>
      </c>
    </row>
    <row r="196" spans="1:17" x14ac:dyDescent="0.25">
      <c r="A196" t="s">
        <v>240</v>
      </c>
      <c r="B196" t="s">
        <v>241</v>
      </c>
      <c r="C196" t="s">
        <v>242</v>
      </c>
      <c r="D196" t="s">
        <v>20</v>
      </c>
      <c r="E196" t="s">
        <v>53</v>
      </c>
      <c r="F196" t="s">
        <v>54</v>
      </c>
      <c r="G196" t="s">
        <v>54</v>
      </c>
      <c r="H196" t="s">
        <v>54</v>
      </c>
      <c r="J196" t="s">
        <v>89</v>
      </c>
      <c r="K196" t="s">
        <v>90</v>
      </c>
      <c r="O196">
        <v>6</v>
      </c>
      <c r="P196">
        <f>COUNTIFS(keyword_comparison[record_identifier],keyword_comparison[[#This Row],[record_identifier]],keyword_comparison[Review],"&lt;&gt;")</f>
        <v>0</v>
      </c>
      <c r="Q196" cm="1">
        <f t="array" ref="Q196">SUMPRODUCT((keyword_comparison[record_identifier]=keyword_comparison[[#This Row],[record_identifier]])*(LEN(keyword_comparison[keyword_matcher_output])&gt;0))</f>
        <v>2</v>
      </c>
    </row>
    <row r="197" spans="1:17" x14ac:dyDescent="0.25">
      <c r="A197" t="s">
        <v>240</v>
      </c>
      <c r="B197" t="s">
        <v>241</v>
      </c>
      <c r="C197" t="s">
        <v>242</v>
      </c>
      <c r="D197" t="s">
        <v>20</v>
      </c>
      <c r="E197" t="s">
        <v>53</v>
      </c>
      <c r="F197" t="s">
        <v>54</v>
      </c>
      <c r="G197" t="s">
        <v>54</v>
      </c>
      <c r="H197" t="s">
        <v>54</v>
      </c>
      <c r="J197" t="s">
        <v>262</v>
      </c>
      <c r="K197" t="s">
        <v>263</v>
      </c>
      <c r="O197">
        <v>7</v>
      </c>
      <c r="P197">
        <f>COUNTIFS(keyword_comparison[record_identifier],keyword_comparison[[#This Row],[record_identifier]],keyword_comparison[Review],"&lt;&gt;")</f>
        <v>0</v>
      </c>
      <c r="Q197" cm="1">
        <f t="array" ref="Q197">SUMPRODUCT((keyword_comparison[record_identifier]=keyword_comparison[[#This Row],[record_identifier]])*(LEN(keyword_comparison[keyword_matcher_output])&gt;0))</f>
        <v>2</v>
      </c>
    </row>
    <row r="198" spans="1:17" x14ac:dyDescent="0.25">
      <c r="A198" t="s">
        <v>240</v>
      </c>
      <c r="B198" t="s">
        <v>241</v>
      </c>
      <c r="C198" t="s">
        <v>242</v>
      </c>
      <c r="D198" t="s">
        <v>20</v>
      </c>
      <c r="E198" t="s">
        <v>53</v>
      </c>
      <c r="F198" t="s">
        <v>54</v>
      </c>
      <c r="G198" t="s">
        <v>54</v>
      </c>
      <c r="H198" t="s">
        <v>54</v>
      </c>
      <c r="J198" t="s">
        <v>264</v>
      </c>
      <c r="K198" t="s">
        <v>265</v>
      </c>
      <c r="O198">
        <v>8</v>
      </c>
      <c r="P198">
        <f>COUNTIFS(keyword_comparison[record_identifier],keyword_comparison[[#This Row],[record_identifier]],keyword_comparison[Review],"&lt;&gt;")</f>
        <v>0</v>
      </c>
      <c r="Q198" cm="1">
        <f t="array" ref="Q198">SUMPRODUCT((keyword_comparison[record_identifier]=keyword_comparison[[#This Row],[record_identifier]])*(LEN(keyword_comparison[keyword_matcher_output])&gt;0))</f>
        <v>2</v>
      </c>
    </row>
    <row r="199" spans="1:17" x14ac:dyDescent="0.25">
      <c r="A199" t="s">
        <v>240</v>
      </c>
      <c r="B199" t="s">
        <v>241</v>
      </c>
      <c r="C199" t="s">
        <v>242</v>
      </c>
      <c r="D199" t="s">
        <v>20</v>
      </c>
      <c r="E199" t="s">
        <v>53</v>
      </c>
      <c r="F199" t="s">
        <v>54</v>
      </c>
      <c r="G199" t="s">
        <v>54</v>
      </c>
      <c r="H199" t="s">
        <v>54</v>
      </c>
      <c r="J199" t="s">
        <v>248</v>
      </c>
      <c r="K199" t="s">
        <v>249</v>
      </c>
      <c r="O199">
        <v>9</v>
      </c>
      <c r="P199">
        <f>COUNTIFS(keyword_comparison[record_identifier],keyword_comparison[[#This Row],[record_identifier]],keyword_comparison[Review],"&lt;&gt;")</f>
        <v>0</v>
      </c>
      <c r="Q199" cm="1">
        <f t="array" ref="Q199">SUMPRODUCT((keyword_comparison[record_identifier]=keyword_comparison[[#This Row],[record_identifier]])*(LEN(keyword_comparison[keyword_matcher_output])&gt;0))</f>
        <v>2</v>
      </c>
    </row>
    <row r="200" spans="1:17" x14ac:dyDescent="0.25">
      <c r="A200" t="s">
        <v>240</v>
      </c>
      <c r="B200" t="s">
        <v>241</v>
      </c>
      <c r="C200" t="s">
        <v>242</v>
      </c>
      <c r="D200" t="s">
        <v>20</v>
      </c>
      <c r="E200" t="s">
        <v>53</v>
      </c>
      <c r="F200" t="s">
        <v>54</v>
      </c>
      <c r="G200" t="s">
        <v>54</v>
      </c>
      <c r="H200" t="s">
        <v>54</v>
      </c>
      <c r="J200" t="s">
        <v>266</v>
      </c>
      <c r="K200" t="s">
        <v>194</v>
      </c>
      <c r="O200">
        <v>10</v>
      </c>
      <c r="P200">
        <f>COUNTIFS(keyword_comparison[record_identifier],keyword_comparison[[#This Row],[record_identifier]],keyword_comparison[Review],"&lt;&gt;")</f>
        <v>0</v>
      </c>
      <c r="Q200" cm="1">
        <f t="array" ref="Q200">SUMPRODUCT((keyword_comparison[record_identifier]=keyword_comparison[[#This Row],[record_identifier]])*(LEN(keyword_comparison[keyword_matcher_output])&gt;0))</f>
        <v>2</v>
      </c>
    </row>
    <row r="201" spans="1:17" x14ac:dyDescent="0.25">
      <c r="A201" t="s">
        <v>267</v>
      </c>
      <c r="B201" t="s">
        <v>268</v>
      </c>
      <c r="C201" t="s">
        <v>269</v>
      </c>
      <c r="D201" t="s">
        <v>20</v>
      </c>
      <c r="E201" t="s">
        <v>21</v>
      </c>
      <c r="F201" t="s">
        <v>30</v>
      </c>
      <c r="G201" t="s">
        <v>31</v>
      </c>
      <c r="H201" t="s">
        <v>54</v>
      </c>
      <c r="P201">
        <f>COUNTIFS(keyword_comparison[record_identifier],keyword_comparison[[#This Row],[record_identifier]],keyword_comparison[Review],"&lt;&gt;")</f>
        <v>0</v>
      </c>
      <c r="Q201" cm="1">
        <f t="array" ref="Q201">SUMPRODUCT((keyword_comparison[record_identifier]=keyword_comparison[[#This Row],[record_identifier]])*(LEN(keyword_comparison[keyword_matcher_output])&gt;0))</f>
        <v>0</v>
      </c>
    </row>
    <row r="202" spans="1:17" x14ac:dyDescent="0.25">
      <c r="A202" t="s">
        <v>267</v>
      </c>
      <c r="B202" t="s">
        <v>268</v>
      </c>
      <c r="C202" t="s">
        <v>269</v>
      </c>
      <c r="D202" t="s">
        <v>20</v>
      </c>
      <c r="E202" t="s">
        <v>21</v>
      </c>
      <c r="F202" t="s">
        <v>69</v>
      </c>
      <c r="G202" t="s">
        <v>31</v>
      </c>
      <c r="H202" t="s">
        <v>54</v>
      </c>
      <c r="P202">
        <f>COUNTIFS(keyword_comparison[record_identifier],keyword_comparison[[#This Row],[record_identifier]],keyword_comparison[Review],"&lt;&gt;")</f>
        <v>0</v>
      </c>
      <c r="Q202" cm="1">
        <f t="array" ref="Q202">SUMPRODUCT((keyword_comparison[record_identifier]=keyword_comparison[[#This Row],[record_identifier]])*(LEN(keyword_comparison[keyword_matcher_output])&gt;0))</f>
        <v>0</v>
      </c>
    </row>
    <row r="203" spans="1:17" x14ac:dyDescent="0.25">
      <c r="A203" t="s">
        <v>267</v>
      </c>
      <c r="B203" t="s">
        <v>268</v>
      </c>
      <c r="C203" t="s">
        <v>269</v>
      </c>
      <c r="D203" t="s">
        <v>20</v>
      </c>
      <c r="E203" t="s">
        <v>21</v>
      </c>
      <c r="F203" t="s">
        <v>270</v>
      </c>
      <c r="G203" t="s">
        <v>31</v>
      </c>
      <c r="H203" t="s">
        <v>54</v>
      </c>
      <c r="P203">
        <f>COUNTIFS(keyword_comparison[record_identifier],keyword_comparison[[#This Row],[record_identifier]],keyword_comparison[Review],"&lt;&gt;")</f>
        <v>0</v>
      </c>
      <c r="Q203" cm="1">
        <f t="array" ref="Q203">SUMPRODUCT((keyword_comparison[record_identifier]=keyword_comparison[[#This Row],[record_identifier]])*(LEN(keyword_comparison[keyword_matcher_output])&gt;0))</f>
        <v>0</v>
      </c>
    </row>
    <row r="204" spans="1:17" x14ac:dyDescent="0.25">
      <c r="A204" t="s">
        <v>267</v>
      </c>
      <c r="B204" t="s">
        <v>268</v>
      </c>
      <c r="C204" t="s">
        <v>269</v>
      </c>
      <c r="D204" t="s">
        <v>20</v>
      </c>
      <c r="E204" t="s">
        <v>21</v>
      </c>
      <c r="F204" t="s">
        <v>216</v>
      </c>
      <c r="G204" t="s">
        <v>72</v>
      </c>
      <c r="H204" t="s">
        <v>54</v>
      </c>
      <c r="P204">
        <f>COUNTIFS(keyword_comparison[record_identifier],keyword_comparison[[#This Row],[record_identifier]],keyword_comparison[Review],"&lt;&gt;")</f>
        <v>0</v>
      </c>
      <c r="Q204" cm="1">
        <f t="array" ref="Q204">SUMPRODUCT((keyword_comparison[record_identifier]=keyword_comparison[[#This Row],[record_identifier]])*(LEN(keyword_comparison[keyword_matcher_output])&gt;0))</f>
        <v>0</v>
      </c>
    </row>
    <row r="205" spans="1:17" x14ac:dyDescent="0.25">
      <c r="A205" t="s">
        <v>267</v>
      </c>
      <c r="B205" t="s">
        <v>268</v>
      </c>
      <c r="C205" t="s">
        <v>269</v>
      </c>
      <c r="D205" t="s">
        <v>20</v>
      </c>
      <c r="E205" t="s">
        <v>21</v>
      </c>
      <c r="F205" t="s">
        <v>71</v>
      </c>
      <c r="G205" t="s">
        <v>72</v>
      </c>
      <c r="H205" t="s">
        <v>54</v>
      </c>
      <c r="P205">
        <f>COUNTIFS(keyword_comparison[record_identifier],keyword_comparison[[#This Row],[record_identifier]],keyword_comparison[Review],"&lt;&gt;")</f>
        <v>0</v>
      </c>
      <c r="Q205" cm="1">
        <f t="array" ref="Q205">SUMPRODUCT((keyword_comparison[record_identifier]=keyword_comparison[[#This Row],[record_identifier]])*(LEN(keyword_comparison[keyword_matcher_output])&gt;0))</f>
        <v>0</v>
      </c>
    </row>
    <row r="206" spans="1:17" x14ac:dyDescent="0.25">
      <c r="A206" t="s">
        <v>267</v>
      </c>
      <c r="B206" t="s">
        <v>268</v>
      </c>
      <c r="C206" t="s">
        <v>269</v>
      </c>
      <c r="D206" t="s">
        <v>20</v>
      </c>
      <c r="E206" t="s">
        <v>21</v>
      </c>
      <c r="F206" t="s">
        <v>32</v>
      </c>
      <c r="G206" t="s">
        <v>31</v>
      </c>
      <c r="H206" t="s">
        <v>54</v>
      </c>
      <c r="P206">
        <f>COUNTIFS(keyword_comparison[record_identifier],keyword_comparison[[#This Row],[record_identifier]],keyword_comparison[Review],"&lt;&gt;")</f>
        <v>0</v>
      </c>
      <c r="Q206" cm="1">
        <f t="array" ref="Q206">SUMPRODUCT((keyword_comparison[record_identifier]=keyword_comparison[[#This Row],[record_identifier]])*(LEN(keyword_comparison[keyword_matcher_output])&gt;0))</f>
        <v>0</v>
      </c>
    </row>
    <row r="207" spans="1:17" x14ac:dyDescent="0.25">
      <c r="A207" t="s">
        <v>267</v>
      </c>
      <c r="B207" t="s">
        <v>268</v>
      </c>
      <c r="C207" t="s">
        <v>269</v>
      </c>
      <c r="D207" t="s">
        <v>20</v>
      </c>
      <c r="E207" t="s">
        <v>33</v>
      </c>
      <c r="H207" t="s">
        <v>54</v>
      </c>
      <c r="J207" t="s">
        <v>204</v>
      </c>
      <c r="K207" t="s">
        <v>205</v>
      </c>
      <c r="L207" t="b">
        <v>1</v>
      </c>
      <c r="M207">
        <v>0.82130000000000003</v>
      </c>
      <c r="N207">
        <v>1</v>
      </c>
      <c r="P207">
        <f>COUNTIFS(keyword_comparison[record_identifier],keyword_comparison[[#This Row],[record_identifier]],keyword_comparison[Review],"&lt;&gt;")</f>
        <v>0</v>
      </c>
      <c r="Q207" cm="1">
        <f t="array" ref="Q207">SUMPRODUCT((keyword_comparison[record_identifier]=keyword_comparison[[#This Row],[record_identifier]])*(LEN(keyword_comparison[keyword_matcher_output])&gt;0))</f>
        <v>0</v>
      </c>
    </row>
    <row r="208" spans="1:17" x14ac:dyDescent="0.25">
      <c r="A208" t="s">
        <v>267</v>
      </c>
      <c r="B208" t="s">
        <v>268</v>
      </c>
      <c r="C208" t="s">
        <v>269</v>
      </c>
      <c r="D208" t="s">
        <v>20</v>
      </c>
      <c r="E208" t="s">
        <v>33</v>
      </c>
      <c r="H208" t="s">
        <v>54</v>
      </c>
      <c r="J208" t="s">
        <v>191</v>
      </c>
      <c r="K208" t="s">
        <v>192</v>
      </c>
      <c r="M208">
        <v>0.73180000000000001</v>
      </c>
      <c r="N208">
        <v>2</v>
      </c>
      <c r="P208">
        <f>COUNTIFS(keyword_comparison[record_identifier],keyword_comparison[[#This Row],[record_identifier]],keyword_comparison[Review],"&lt;&gt;")</f>
        <v>0</v>
      </c>
      <c r="Q208" cm="1">
        <f t="array" ref="Q208">SUMPRODUCT((keyword_comparison[record_identifier]=keyword_comparison[[#This Row],[record_identifier]])*(LEN(keyword_comparison[keyword_matcher_output])&gt;0))</f>
        <v>0</v>
      </c>
    </row>
    <row r="209" spans="1:17" x14ac:dyDescent="0.25">
      <c r="A209" t="s">
        <v>267</v>
      </c>
      <c r="B209" t="s">
        <v>268</v>
      </c>
      <c r="C209" t="s">
        <v>269</v>
      </c>
      <c r="D209" t="s">
        <v>20</v>
      </c>
      <c r="E209" t="s">
        <v>33</v>
      </c>
      <c r="H209" t="s">
        <v>54</v>
      </c>
      <c r="J209" t="s">
        <v>271</v>
      </c>
      <c r="K209" t="s">
        <v>272</v>
      </c>
      <c r="M209">
        <v>0.59989999999999999</v>
      </c>
      <c r="N209">
        <v>3</v>
      </c>
      <c r="P209">
        <f>COUNTIFS(keyword_comparison[record_identifier],keyword_comparison[[#This Row],[record_identifier]],keyword_comparison[Review],"&lt;&gt;")</f>
        <v>0</v>
      </c>
      <c r="Q209" cm="1">
        <f t="array" ref="Q209">SUMPRODUCT((keyword_comparison[record_identifier]=keyword_comparison[[#This Row],[record_identifier]])*(LEN(keyword_comparison[keyword_matcher_output])&gt;0))</f>
        <v>0</v>
      </c>
    </row>
    <row r="210" spans="1:17" x14ac:dyDescent="0.25">
      <c r="A210" t="s">
        <v>267</v>
      </c>
      <c r="B210" t="s">
        <v>268</v>
      </c>
      <c r="C210" t="s">
        <v>269</v>
      </c>
      <c r="D210" t="s">
        <v>20</v>
      </c>
      <c r="E210" t="s">
        <v>33</v>
      </c>
      <c r="H210" t="s">
        <v>54</v>
      </c>
      <c r="J210" t="s">
        <v>180</v>
      </c>
      <c r="K210" t="s">
        <v>181</v>
      </c>
      <c r="M210">
        <v>0.59519999999999995</v>
      </c>
      <c r="N210">
        <v>4</v>
      </c>
      <c r="P210">
        <f>COUNTIFS(keyword_comparison[record_identifier],keyword_comparison[[#This Row],[record_identifier]],keyword_comparison[Review],"&lt;&gt;")</f>
        <v>0</v>
      </c>
      <c r="Q210" cm="1">
        <f t="array" ref="Q210">SUMPRODUCT((keyword_comparison[record_identifier]=keyword_comparison[[#This Row],[record_identifier]])*(LEN(keyword_comparison[keyword_matcher_output])&gt;0))</f>
        <v>0</v>
      </c>
    </row>
    <row r="211" spans="1:17" x14ac:dyDescent="0.25">
      <c r="A211" t="s">
        <v>267</v>
      </c>
      <c r="B211" t="s">
        <v>268</v>
      </c>
      <c r="C211" t="s">
        <v>269</v>
      </c>
      <c r="D211" t="s">
        <v>20</v>
      </c>
      <c r="E211" t="s">
        <v>33</v>
      </c>
      <c r="H211" t="s">
        <v>54</v>
      </c>
      <c r="J211" t="s">
        <v>273</v>
      </c>
      <c r="K211" t="s">
        <v>274</v>
      </c>
      <c r="L211" t="b">
        <v>1</v>
      </c>
      <c r="M211">
        <v>0.3155</v>
      </c>
      <c r="N211">
        <v>5</v>
      </c>
      <c r="P211">
        <f>COUNTIFS(keyword_comparison[record_identifier],keyword_comparison[[#This Row],[record_identifier]],keyword_comparison[Review],"&lt;&gt;")</f>
        <v>0</v>
      </c>
      <c r="Q211" cm="1">
        <f t="array" ref="Q211">SUMPRODUCT((keyword_comparison[record_identifier]=keyword_comparison[[#This Row],[record_identifier]])*(LEN(keyword_comparison[keyword_matcher_output])&gt;0))</f>
        <v>0</v>
      </c>
    </row>
    <row r="212" spans="1:17" x14ac:dyDescent="0.25">
      <c r="A212" t="s">
        <v>267</v>
      </c>
      <c r="B212" t="s">
        <v>268</v>
      </c>
      <c r="C212" t="s">
        <v>269</v>
      </c>
      <c r="D212" t="s">
        <v>20</v>
      </c>
      <c r="E212" t="s">
        <v>33</v>
      </c>
      <c r="H212" t="s">
        <v>54</v>
      </c>
      <c r="J212" t="s">
        <v>275</v>
      </c>
      <c r="K212" t="s">
        <v>276</v>
      </c>
      <c r="M212">
        <v>0.10100000000000001</v>
      </c>
      <c r="N212">
        <v>6</v>
      </c>
      <c r="P212">
        <f>COUNTIFS(keyword_comparison[record_identifier],keyword_comparison[[#This Row],[record_identifier]],keyword_comparison[Review],"&lt;&gt;")</f>
        <v>0</v>
      </c>
      <c r="Q212" cm="1">
        <f t="array" ref="Q212">SUMPRODUCT((keyword_comparison[record_identifier]=keyword_comparison[[#This Row],[record_identifier]])*(LEN(keyword_comparison[keyword_matcher_output])&gt;0))</f>
        <v>0</v>
      </c>
    </row>
    <row r="213" spans="1:17" x14ac:dyDescent="0.25">
      <c r="A213" t="s">
        <v>267</v>
      </c>
      <c r="B213" t="s">
        <v>268</v>
      </c>
      <c r="C213" t="s">
        <v>269</v>
      </c>
      <c r="D213" t="s">
        <v>20</v>
      </c>
      <c r="E213" t="s">
        <v>33</v>
      </c>
      <c r="H213" t="s">
        <v>54</v>
      </c>
      <c r="J213" t="s">
        <v>226</v>
      </c>
      <c r="K213" t="s">
        <v>227</v>
      </c>
      <c r="M213">
        <v>7.4300000000000005E-2</v>
      </c>
      <c r="N213">
        <v>7</v>
      </c>
      <c r="P213">
        <f>COUNTIFS(keyword_comparison[record_identifier],keyword_comparison[[#This Row],[record_identifier]],keyword_comparison[Review],"&lt;&gt;")</f>
        <v>0</v>
      </c>
      <c r="Q213" cm="1">
        <f t="array" ref="Q213">SUMPRODUCT((keyword_comparison[record_identifier]=keyword_comparison[[#This Row],[record_identifier]])*(LEN(keyword_comparison[keyword_matcher_output])&gt;0))</f>
        <v>0</v>
      </c>
    </row>
    <row r="214" spans="1:17" x14ac:dyDescent="0.25">
      <c r="A214" t="s">
        <v>267</v>
      </c>
      <c r="B214" t="s">
        <v>268</v>
      </c>
      <c r="C214" t="s">
        <v>269</v>
      </c>
      <c r="D214" t="s">
        <v>20</v>
      </c>
      <c r="E214" t="s">
        <v>33</v>
      </c>
      <c r="H214" t="s">
        <v>54</v>
      </c>
      <c r="J214" t="s">
        <v>277</v>
      </c>
      <c r="K214" t="s">
        <v>278</v>
      </c>
      <c r="M214">
        <v>7.3700000000000002E-2</v>
      </c>
      <c r="N214">
        <v>8</v>
      </c>
      <c r="P214">
        <f>COUNTIFS(keyword_comparison[record_identifier],keyword_comparison[[#This Row],[record_identifier]],keyword_comparison[Review],"&lt;&gt;")</f>
        <v>0</v>
      </c>
      <c r="Q214" cm="1">
        <f t="array" ref="Q214">SUMPRODUCT((keyword_comparison[record_identifier]=keyword_comparison[[#This Row],[record_identifier]])*(LEN(keyword_comparison[keyword_matcher_output])&gt;0))</f>
        <v>0</v>
      </c>
    </row>
    <row r="215" spans="1:17" x14ac:dyDescent="0.25">
      <c r="A215" t="s">
        <v>267</v>
      </c>
      <c r="B215" t="s">
        <v>268</v>
      </c>
      <c r="C215" t="s">
        <v>269</v>
      </c>
      <c r="D215" t="s">
        <v>20</v>
      </c>
      <c r="E215" t="s">
        <v>33</v>
      </c>
      <c r="H215" t="s">
        <v>54</v>
      </c>
      <c r="J215" t="s">
        <v>279</v>
      </c>
      <c r="K215" t="s">
        <v>280</v>
      </c>
      <c r="M215">
        <v>5.8799999999999998E-2</v>
      </c>
      <c r="N215">
        <v>9</v>
      </c>
      <c r="P215">
        <f>COUNTIFS(keyword_comparison[record_identifier],keyword_comparison[[#This Row],[record_identifier]],keyword_comparison[Review],"&lt;&gt;")</f>
        <v>0</v>
      </c>
      <c r="Q215" cm="1">
        <f t="array" ref="Q215">SUMPRODUCT((keyword_comparison[record_identifier]=keyword_comparison[[#This Row],[record_identifier]])*(LEN(keyword_comparison[keyword_matcher_output])&gt;0))</f>
        <v>0</v>
      </c>
    </row>
    <row r="216" spans="1:17" x14ac:dyDescent="0.25">
      <c r="A216" t="s">
        <v>267</v>
      </c>
      <c r="B216" t="s">
        <v>268</v>
      </c>
      <c r="C216" t="s">
        <v>269</v>
      </c>
      <c r="D216" t="s">
        <v>20</v>
      </c>
      <c r="E216" t="s">
        <v>33</v>
      </c>
      <c r="H216" t="s">
        <v>54</v>
      </c>
      <c r="J216" t="s">
        <v>281</v>
      </c>
      <c r="K216" t="s">
        <v>282</v>
      </c>
      <c r="M216">
        <v>5.79E-2</v>
      </c>
      <c r="N216">
        <v>10</v>
      </c>
      <c r="P216">
        <f>COUNTIFS(keyword_comparison[record_identifier],keyword_comparison[[#This Row],[record_identifier]],keyword_comparison[Review],"&lt;&gt;")</f>
        <v>0</v>
      </c>
      <c r="Q216" cm="1">
        <f t="array" ref="Q216">SUMPRODUCT((keyword_comparison[record_identifier]=keyword_comparison[[#This Row],[record_identifier]])*(LEN(keyword_comparison[keyword_matcher_output])&gt;0))</f>
        <v>0</v>
      </c>
    </row>
    <row r="217" spans="1:17" x14ac:dyDescent="0.25">
      <c r="A217" t="s">
        <v>267</v>
      </c>
      <c r="B217" t="s">
        <v>268</v>
      </c>
      <c r="C217" t="s">
        <v>269</v>
      </c>
      <c r="D217" t="s">
        <v>20</v>
      </c>
      <c r="E217" t="s">
        <v>48</v>
      </c>
      <c r="H217" t="s">
        <v>54</v>
      </c>
      <c r="J217" t="s">
        <v>204</v>
      </c>
      <c r="K217" t="s">
        <v>205</v>
      </c>
      <c r="L217" t="b">
        <v>1</v>
      </c>
      <c r="P217">
        <f>COUNTIFS(keyword_comparison[record_identifier],keyword_comparison[[#This Row],[record_identifier]],keyword_comparison[Review],"&lt;&gt;")</f>
        <v>0</v>
      </c>
      <c r="Q217" cm="1">
        <f t="array" ref="Q217">SUMPRODUCT((keyword_comparison[record_identifier]=keyword_comparison[[#This Row],[record_identifier]])*(LEN(keyword_comparison[keyword_matcher_output])&gt;0))</f>
        <v>0</v>
      </c>
    </row>
    <row r="218" spans="1:17" x14ac:dyDescent="0.25">
      <c r="A218" t="s">
        <v>267</v>
      </c>
      <c r="B218" t="s">
        <v>268</v>
      </c>
      <c r="C218" t="s">
        <v>269</v>
      </c>
      <c r="D218" t="s">
        <v>20</v>
      </c>
      <c r="E218" t="s">
        <v>48</v>
      </c>
      <c r="H218" t="s">
        <v>54</v>
      </c>
      <c r="J218" t="s">
        <v>235</v>
      </c>
      <c r="K218" t="s">
        <v>236</v>
      </c>
      <c r="P218">
        <f>COUNTIFS(keyword_comparison[record_identifier],keyword_comparison[[#This Row],[record_identifier]],keyword_comparison[Review],"&lt;&gt;")</f>
        <v>0</v>
      </c>
      <c r="Q218" cm="1">
        <f t="array" ref="Q218">SUMPRODUCT((keyword_comparison[record_identifier]=keyword_comparison[[#This Row],[record_identifier]])*(LEN(keyword_comparison[keyword_matcher_output])&gt;0))</f>
        <v>0</v>
      </c>
    </row>
    <row r="219" spans="1:17" x14ac:dyDescent="0.25">
      <c r="A219" t="s">
        <v>267</v>
      </c>
      <c r="B219" t="s">
        <v>268</v>
      </c>
      <c r="C219" t="s">
        <v>269</v>
      </c>
      <c r="D219" t="s">
        <v>20</v>
      </c>
      <c r="E219" t="s">
        <v>48</v>
      </c>
      <c r="H219" t="s">
        <v>54</v>
      </c>
      <c r="J219" t="s">
        <v>253</v>
      </c>
      <c r="K219" t="s">
        <v>254</v>
      </c>
      <c r="P219">
        <f>COUNTIFS(keyword_comparison[record_identifier],keyword_comparison[[#This Row],[record_identifier]],keyword_comparison[Review],"&lt;&gt;")</f>
        <v>0</v>
      </c>
      <c r="Q219" cm="1">
        <f t="array" ref="Q219">SUMPRODUCT((keyword_comparison[record_identifier]=keyword_comparison[[#This Row],[record_identifier]])*(LEN(keyword_comparison[keyword_matcher_output])&gt;0))</f>
        <v>0</v>
      </c>
    </row>
    <row r="220" spans="1:17" x14ac:dyDescent="0.25">
      <c r="A220" t="s">
        <v>267</v>
      </c>
      <c r="B220" t="s">
        <v>268</v>
      </c>
      <c r="C220" t="s">
        <v>269</v>
      </c>
      <c r="D220" t="s">
        <v>20</v>
      </c>
      <c r="E220" t="s">
        <v>48</v>
      </c>
      <c r="H220" t="s">
        <v>54</v>
      </c>
      <c r="J220" t="s">
        <v>84</v>
      </c>
      <c r="K220" t="s">
        <v>85</v>
      </c>
      <c r="P220">
        <f>COUNTIFS(keyword_comparison[record_identifier],keyword_comparison[[#This Row],[record_identifier]],keyword_comparison[Review],"&lt;&gt;")</f>
        <v>0</v>
      </c>
      <c r="Q220" cm="1">
        <f t="array" ref="Q220">SUMPRODUCT((keyword_comparison[record_identifier]=keyword_comparison[[#This Row],[record_identifier]])*(LEN(keyword_comparison[keyword_matcher_output])&gt;0))</f>
        <v>0</v>
      </c>
    </row>
    <row r="221" spans="1:17" x14ac:dyDescent="0.25">
      <c r="A221" t="s">
        <v>267</v>
      </c>
      <c r="B221" t="s">
        <v>268</v>
      </c>
      <c r="C221" t="s">
        <v>269</v>
      </c>
      <c r="D221" t="s">
        <v>20</v>
      </c>
      <c r="E221" t="s">
        <v>48</v>
      </c>
      <c r="H221" t="s">
        <v>54</v>
      </c>
      <c r="J221" t="s">
        <v>180</v>
      </c>
      <c r="K221" t="s">
        <v>181</v>
      </c>
      <c r="P221">
        <f>COUNTIFS(keyword_comparison[record_identifier],keyword_comparison[[#This Row],[record_identifier]],keyword_comparison[Review],"&lt;&gt;")</f>
        <v>0</v>
      </c>
      <c r="Q221" cm="1">
        <f t="array" ref="Q221">SUMPRODUCT((keyword_comparison[record_identifier]=keyword_comparison[[#This Row],[record_identifier]])*(LEN(keyword_comparison[keyword_matcher_output])&gt;0))</f>
        <v>0</v>
      </c>
    </row>
    <row r="222" spans="1:17" x14ac:dyDescent="0.25">
      <c r="A222" t="s">
        <v>267</v>
      </c>
      <c r="B222" t="s">
        <v>268</v>
      </c>
      <c r="C222" t="s">
        <v>269</v>
      </c>
      <c r="D222" t="s">
        <v>20</v>
      </c>
      <c r="E222" t="s">
        <v>48</v>
      </c>
      <c r="H222" t="s">
        <v>54</v>
      </c>
      <c r="J222" t="s">
        <v>195</v>
      </c>
      <c r="K222" t="s">
        <v>196</v>
      </c>
      <c r="P222">
        <f>COUNTIFS(keyword_comparison[record_identifier],keyword_comparison[[#This Row],[record_identifier]],keyword_comparison[Review],"&lt;&gt;")</f>
        <v>0</v>
      </c>
      <c r="Q222" cm="1">
        <f t="array" ref="Q222">SUMPRODUCT((keyword_comparison[record_identifier]=keyword_comparison[[#This Row],[record_identifier]])*(LEN(keyword_comparison[keyword_matcher_output])&gt;0))</f>
        <v>0</v>
      </c>
    </row>
    <row r="223" spans="1:17" x14ac:dyDescent="0.25">
      <c r="A223" t="s">
        <v>267</v>
      </c>
      <c r="B223" t="s">
        <v>268</v>
      </c>
      <c r="C223" t="s">
        <v>269</v>
      </c>
      <c r="D223" t="s">
        <v>20</v>
      </c>
      <c r="E223" t="s">
        <v>48</v>
      </c>
      <c r="H223" t="s">
        <v>54</v>
      </c>
      <c r="J223" t="s">
        <v>199</v>
      </c>
      <c r="K223" t="s">
        <v>200</v>
      </c>
      <c r="P223">
        <f>COUNTIFS(keyword_comparison[record_identifier],keyword_comparison[[#This Row],[record_identifier]],keyword_comparison[Review],"&lt;&gt;")</f>
        <v>0</v>
      </c>
      <c r="Q223" cm="1">
        <f t="array" ref="Q223">SUMPRODUCT((keyword_comparison[record_identifier]=keyword_comparison[[#This Row],[record_identifier]])*(LEN(keyword_comparison[keyword_matcher_output])&gt;0))</f>
        <v>0</v>
      </c>
    </row>
    <row r="224" spans="1:17" x14ac:dyDescent="0.25">
      <c r="A224" t="s">
        <v>267</v>
      </c>
      <c r="B224" t="s">
        <v>268</v>
      </c>
      <c r="C224" t="s">
        <v>269</v>
      </c>
      <c r="D224" t="s">
        <v>20</v>
      </c>
      <c r="E224" t="s">
        <v>48</v>
      </c>
      <c r="H224" t="s">
        <v>54</v>
      </c>
      <c r="J224" t="s">
        <v>34</v>
      </c>
      <c r="K224" t="s">
        <v>35</v>
      </c>
      <c r="P224">
        <f>COUNTIFS(keyword_comparison[record_identifier],keyword_comparison[[#This Row],[record_identifier]],keyword_comparison[Review],"&lt;&gt;")</f>
        <v>0</v>
      </c>
      <c r="Q224" cm="1">
        <f t="array" ref="Q224">SUMPRODUCT((keyword_comparison[record_identifier]=keyword_comparison[[#This Row],[record_identifier]])*(LEN(keyword_comparison[keyword_matcher_output])&gt;0))</f>
        <v>0</v>
      </c>
    </row>
    <row r="225" spans="1:17" x14ac:dyDescent="0.25">
      <c r="A225" t="s">
        <v>267</v>
      </c>
      <c r="B225" t="s">
        <v>268</v>
      </c>
      <c r="C225" t="s">
        <v>269</v>
      </c>
      <c r="D225" t="s">
        <v>20</v>
      </c>
      <c r="E225" t="s">
        <v>48</v>
      </c>
      <c r="H225" t="s">
        <v>54</v>
      </c>
      <c r="J225" t="s">
        <v>201</v>
      </c>
      <c r="K225" t="s">
        <v>200</v>
      </c>
      <c r="P225">
        <f>COUNTIFS(keyword_comparison[record_identifier],keyword_comparison[[#This Row],[record_identifier]],keyword_comparison[Review],"&lt;&gt;")</f>
        <v>0</v>
      </c>
      <c r="Q225" cm="1">
        <f t="array" ref="Q225">SUMPRODUCT((keyword_comparison[record_identifier]=keyword_comparison[[#This Row],[record_identifier]])*(LEN(keyword_comparison[keyword_matcher_output])&gt;0))</f>
        <v>0</v>
      </c>
    </row>
    <row r="226" spans="1:17" x14ac:dyDescent="0.25">
      <c r="A226" t="s">
        <v>267</v>
      </c>
      <c r="B226" t="s">
        <v>268</v>
      </c>
      <c r="C226" t="s">
        <v>269</v>
      </c>
      <c r="D226" t="s">
        <v>20</v>
      </c>
      <c r="E226" t="s">
        <v>48</v>
      </c>
      <c r="H226" t="s">
        <v>54</v>
      </c>
      <c r="J226" t="s">
        <v>257</v>
      </c>
      <c r="K226" t="s">
        <v>205</v>
      </c>
      <c r="L226" t="b">
        <v>1</v>
      </c>
      <c r="P226">
        <f>COUNTIFS(keyword_comparison[record_identifier],keyword_comparison[[#This Row],[record_identifier]],keyword_comparison[Review],"&lt;&gt;")</f>
        <v>0</v>
      </c>
      <c r="Q226" cm="1">
        <f t="array" ref="Q226">SUMPRODUCT((keyword_comparison[record_identifier]=keyword_comparison[[#This Row],[record_identifier]])*(LEN(keyword_comparison[keyword_matcher_output])&gt;0))</f>
        <v>0</v>
      </c>
    </row>
    <row r="227" spans="1:17" x14ac:dyDescent="0.25">
      <c r="A227" t="s">
        <v>267</v>
      </c>
      <c r="B227" t="s">
        <v>268</v>
      </c>
      <c r="C227" t="s">
        <v>269</v>
      </c>
      <c r="D227" t="s">
        <v>20</v>
      </c>
      <c r="E227" t="s">
        <v>53</v>
      </c>
      <c r="F227" t="s">
        <v>54</v>
      </c>
      <c r="G227" t="s">
        <v>54</v>
      </c>
      <c r="H227" t="s">
        <v>54</v>
      </c>
      <c r="J227" t="s">
        <v>180</v>
      </c>
      <c r="K227" t="s">
        <v>181</v>
      </c>
      <c r="O227">
        <v>1</v>
      </c>
      <c r="P227">
        <f>COUNTIFS(keyword_comparison[record_identifier],keyword_comparison[[#This Row],[record_identifier]],keyword_comparison[Review],"&lt;&gt;")</f>
        <v>0</v>
      </c>
      <c r="Q227" cm="1">
        <f t="array" ref="Q227">SUMPRODUCT((keyword_comparison[record_identifier]=keyword_comparison[[#This Row],[record_identifier]])*(LEN(keyword_comparison[keyword_matcher_output])&gt;0))</f>
        <v>0</v>
      </c>
    </row>
    <row r="228" spans="1:17" x14ac:dyDescent="0.25">
      <c r="A228" t="s">
        <v>267</v>
      </c>
      <c r="B228" t="s">
        <v>268</v>
      </c>
      <c r="C228" t="s">
        <v>269</v>
      </c>
      <c r="D228" t="s">
        <v>20</v>
      </c>
      <c r="E228" t="s">
        <v>53</v>
      </c>
      <c r="F228" t="s">
        <v>54</v>
      </c>
      <c r="G228" t="s">
        <v>54</v>
      </c>
      <c r="H228" t="s">
        <v>54</v>
      </c>
      <c r="J228" t="s">
        <v>204</v>
      </c>
      <c r="K228" t="s">
        <v>205</v>
      </c>
      <c r="O228">
        <v>2</v>
      </c>
      <c r="P228">
        <f>COUNTIFS(keyword_comparison[record_identifier],keyword_comparison[[#This Row],[record_identifier]],keyword_comparison[Review],"&lt;&gt;")</f>
        <v>0</v>
      </c>
      <c r="Q228" cm="1">
        <f t="array" ref="Q228">SUMPRODUCT((keyword_comparison[record_identifier]=keyword_comparison[[#This Row],[record_identifier]])*(LEN(keyword_comparison[keyword_matcher_output])&gt;0))</f>
        <v>0</v>
      </c>
    </row>
    <row r="229" spans="1:17" x14ac:dyDescent="0.25">
      <c r="A229" t="s">
        <v>267</v>
      </c>
      <c r="B229" t="s">
        <v>268</v>
      </c>
      <c r="C229" t="s">
        <v>269</v>
      </c>
      <c r="D229" t="s">
        <v>20</v>
      </c>
      <c r="E229" t="s">
        <v>53</v>
      </c>
      <c r="F229" t="s">
        <v>54</v>
      </c>
      <c r="G229" t="s">
        <v>54</v>
      </c>
      <c r="H229" t="s">
        <v>54</v>
      </c>
      <c r="J229" t="s">
        <v>235</v>
      </c>
      <c r="K229" t="s">
        <v>236</v>
      </c>
      <c r="O229">
        <v>3</v>
      </c>
      <c r="P229">
        <f>COUNTIFS(keyword_comparison[record_identifier],keyword_comparison[[#This Row],[record_identifier]],keyword_comparison[Review],"&lt;&gt;")</f>
        <v>0</v>
      </c>
      <c r="Q229" cm="1">
        <f t="array" ref="Q229">SUMPRODUCT((keyword_comparison[record_identifier]=keyword_comparison[[#This Row],[record_identifier]])*(LEN(keyword_comparison[keyword_matcher_output])&gt;0))</f>
        <v>0</v>
      </c>
    </row>
    <row r="230" spans="1:17" x14ac:dyDescent="0.25">
      <c r="A230" t="s">
        <v>267</v>
      </c>
      <c r="B230" t="s">
        <v>268</v>
      </c>
      <c r="C230" t="s">
        <v>269</v>
      </c>
      <c r="D230" t="s">
        <v>20</v>
      </c>
      <c r="E230" t="s">
        <v>53</v>
      </c>
      <c r="F230" t="s">
        <v>54</v>
      </c>
      <c r="G230" t="s">
        <v>54</v>
      </c>
      <c r="H230" t="s">
        <v>54</v>
      </c>
      <c r="J230" t="s">
        <v>253</v>
      </c>
      <c r="K230" t="s">
        <v>254</v>
      </c>
      <c r="O230">
        <v>4</v>
      </c>
      <c r="P230">
        <f>COUNTIFS(keyword_comparison[record_identifier],keyword_comparison[[#This Row],[record_identifier]],keyword_comparison[Review],"&lt;&gt;")</f>
        <v>0</v>
      </c>
      <c r="Q230" cm="1">
        <f t="array" ref="Q230">SUMPRODUCT((keyword_comparison[record_identifier]=keyword_comparison[[#This Row],[record_identifier]])*(LEN(keyword_comparison[keyword_matcher_output])&gt;0))</f>
        <v>0</v>
      </c>
    </row>
    <row r="231" spans="1:17" x14ac:dyDescent="0.25">
      <c r="A231" t="s">
        <v>267</v>
      </c>
      <c r="B231" t="s">
        <v>268</v>
      </c>
      <c r="C231" t="s">
        <v>269</v>
      </c>
      <c r="D231" t="s">
        <v>20</v>
      </c>
      <c r="E231" t="s">
        <v>53</v>
      </c>
      <c r="F231" t="s">
        <v>54</v>
      </c>
      <c r="G231" t="s">
        <v>54</v>
      </c>
      <c r="H231" t="s">
        <v>54</v>
      </c>
      <c r="J231" t="s">
        <v>59</v>
      </c>
      <c r="K231" t="s">
        <v>60</v>
      </c>
      <c r="O231">
        <v>5</v>
      </c>
      <c r="P231">
        <f>COUNTIFS(keyword_comparison[record_identifier],keyword_comparison[[#This Row],[record_identifier]],keyword_comparison[Review],"&lt;&gt;")</f>
        <v>0</v>
      </c>
      <c r="Q231" cm="1">
        <f t="array" ref="Q231">SUMPRODUCT((keyword_comparison[record_identifier]=keyword_comparison[[#This Row],[record_identifier]])*(LEN(keyword_comparison[keyword_matcher_output])&gt;0))</f>
        <v>0</v>
      </c>
    </row>
    <row r="232" spans="1:17" x14ac:dyDescent="0.25">
      <c r="A232" t="s">
        <v>267</v>
      </c>
      <c r="B232" t="s">
        <v>268</v>
      </c>
      <c r="C232" t="s">
        <v>269</v>
      </c>
      <c r="D232" t="s">
        <v>20</v>
      </c>
      <c r="E232" t="s">
        <v>53</v>
      </c>
      <c r="F232" t="s">
        <v>54</v>
      </c>
      <c r="G232" t="s">
        <v>54</v>
      </c>
      <c r="H232" t="s">
        <v>54</v>
      </c>
      <c r="J232" t="s">
        <v>201</v>
      </c>
      <c r="K232" t="s">
        <v>200</v>
      </c>
      <c r="O232">
        <v>6</v>
      </c>
      <c r="P232">
        <f>COUNTIFS(keyword_comparison[record_identifier],keyword_comparison[[#This Row],[record_identifier]],keyword_comparison[Review],"&lt;&gt;")</f>
        <v>0</v>
      </c>
      <c r="Q232" cm="1">
        <f t="array" ref="Q232">SUMPRODUCT((keyword_comparison[record_identifier]=keyword_comparison[[#This Row],[record_identifier]])*(LEN(keyword_comparison[keyword_matcher_output])&gt;0))</f>
        <v>0</v>
      </c>
    </row>
    <row r="233" spans="1:17" x14ac:dyDescent="0.25">
      <c r="A233" t="s">
        <v>267</v>
      </c>
      <c r="B233" t="s">
        <v>268</v>
      </c>
      <c r="C233" t="s">
        <v>269</v>
      </c>
      <c r="D233" t="s">
        <v>20</v>
      </c>
      <c r="E233" t="s">
        <v>53</v>
      </c>
      <c r="F233" t="s">
        <v>54</v>
      </c>
      <c r="G233" t="s">
        <v>54</v>
      </c>
      <c r="H233" t="s">
        <v>54</v>
      </c>
      <c r="J233" t="s">
        <v>34</v>
      </c>
      <c r="K233" t="s">
        <v>35</v>
      </c>
      <c r="O233">
        <v>8</v>
      </c>
      <c r="P233">
        <f>COUNTIFS(keyword_comparison[record_identifier],keyword_comparison[[#This Row],[record_identifier]],keyword_comparison[Review],"&lt;&gt;")</f>
        <v>0</v>
      </c>
      <c r="Q233" cm="1">
        <f t="array" ref="Q233">SUMPRODUCT((keyword_comparison[record_identifier]=keyword_comparison[[#This Row],[record_identifier]])*(LEN(keyword_comparison[keyword_matcher_output])&gt;0))</f>
        <v>0</v>
      </c>
    </row>
    <row r="234" spans="1:17" x14ac:dyDescent="0.25">
      <c r="A234" t="s">
        <v>267</v>
      </c>
      <c r="B234" t="s">
        <v>268</v>
      </c>
      <c r="C234" t="s">
        <v>269</v>
      </c>
      <c r="D234" t="s">
        <v>20</v>
      </c>
      <c r="E234" t="s">
        <v>53</v>
      </c>
      <c r="F234" t="s">
        <v>54</v>
      </c>
      <c r="G234" t="s">
        <v>54</v>
      </c>
      <c r="H234" t="s">
        <v>54</v>
      </c>
      <c r="J234" t="s">
        <v>277</v>
      </c>
      <c r="K234" t="s">
        <v>278</v>
      </c>
      <c r="O234">
        <v>9</v>
      </c>
      <c r="P234">
        <f>COUNTIFS(keyword_comparison[record_identifier],keyword_comparison[[#This Row],[record_identifier]],keyword_comparison[Review],"&lt;&gt;")</f>
        <v>0</v>
      </c>
      <c r="Q234" cm="1">
        <f t="array" ref="Q234">SUMPRODUCT((keyword_comparison[record_identifier]=keyword_comparison[[#This Row],[record_identifier]])*(LEN(keyword_comparison[keyword_matcher_output])&gt;0))</f>
        <v>0</v>
      </c>
    </row>
    <row r="235" spans="1:17" x14ac:dyDescent="0.25">
      <c r="A235" t="s">
        <v>267</v>
      </c>
      <c r="B235" t="s">
        <v>268</v>
      </c>
      <c r="C235" t="s">
        <v>269</v>
      </c>
      <c r="D235" t="s">
        <v>20</v>
      </c>
      <c r="E235" t="s">
        <v>53</v>
      </c>
      <c r="F235" t="s">
        <v>54</v>
      </c>
      <c r="G235" t="s">
        <v>54</v>
      </c>
      <c r="H235" t="s">
        <v>54</v>
      </c>
      <c r="J235" t="s">
        <v>36</v>
      </c>
      <c r="K235" t="s">
        <v>37</v>
      </c>
      <c r="O235">
        <v>10</v>
      </c>
      <c r="P235">
        <f>COUNTIFS(keyword_comparison[record_identifier],keyword_comparison[[#This Row],[record_identifier]],keyword_comparison[Review],"&lt;&gt;")</f>
        <v>0</v>
      </c>
      <c r="Q235" cm="1">
        <f t="array" ref="Q235">SUMPRODUCT((keyword_comparison[record_identifier]=keyword_comparison[[#This Row],[record_identifier]])*(LEN(keyword_comparison[keyword_matcher_output])&gt;0))</f>
        <v>0</v>
      </c>
    </row>
    <row r="236" spans="1:17" x14ac:dyDescent="0.25">
      <c r="A236" t="s">
        <v>283</v>
      </c>
      <c r="B236" t="s">
        <v>284</v>
      </c>
      <c r="C236" t="s">
        <v>285</v>
      </c>
      <c r="D236" t="s">
        <v>20</v>
      </c>
      <c r="E236" t="s">
        <v>21</v>
      </c>
      <c r="F236" t="s">
        <v>71</v>
      </c>
      <c r="G236" t="s">
        <v>72</v>
      </c>
      <c r="H236" t="s">
        <v>54</v>
      </c>
      <c r="P236">
        <f>COUNTIFS(keyword_comparison[record_identifier],keyword_comparison[[#This Row],[record_identifier]],keyword_comparison[Review],"&lt;&gt;")</f>
        <v>0</v>
      </c>
      <c r="Q236" cm="1">
        <f t="array" ref="Q236">SUMPRODUCT((keyword_comparison[record_identifier]=keyword_comparison[[#This Row],[record_identifier]])*(LEN(keyword_comparison[keyword_matcher_output])&gt;0))</f>
        <v>2</v>
      </c>
    </row>
    <row r="237" spans="1:17" x14ac:dyDescent="0.25">
      <c r="A237" t="s">
        <v>283</v>
      </c>
      <c r="B237" t="s">
        <v>284</v>
      </c>
      <c r="C237" t="s">
        <v>285</v>
      </c>
      <c r="D237" t="s">
        <v>20</v>
      </c>
      <c r="E237" t="s">
        <v>21</v>
      </c>
      <c r="F237" t="s">
        <v>286</v>
      </c>
      <c r="G237" t="s">
        <v>23</v>
      </c>
      <c r="H237" t="s">
        <v>54</v>
      </c>
      <c r="P237">
        <f>COUNTIFS(keyword_comparison[record_identifier],keyword_comparison[[#This Row],[record_identifier]],keyword_comparison[Review],"&lt;&gt;")</f>
        <v>0</v>
      </c>
      <c r="Q237" cm="1">
        <f t="array" ref="Q237">SUMPRODUCT((keyword_comparison[record_identifier]=keyword_comparison[[#This Row],[record_identifier]])*(LEN(keyword_comparison[keyword_matcher_output])&gt;0))</f>
        <v>2</v>
      </c>
    </row>
    <row r="238" spans="1:17" x14ac:dyDescent="0.25">
      <c r="A238" t="s">
        <v>283</v>
      </c>
      <c r="B238" t="s">
        <v>284</v>
      </c>
      <c r="C238" t="s">
        <v>285</v>
      </c>
      <c r="D238" t="s">
        <v>20</v>
      </c>
      <c r="E238" t="s">
        <v>21</v>
      </c>
      <c r="F238" t="s">
        <v>160</v>
      </c>
      <c r="G238" t="s">
        <v>31</v>
      </c>
      <c r="H238" t="s">
        <v>54</v>
      </c>
      <c r="P238">
        <f>COUNTIFS(keyword_comparison[record_identifier],keyword_comparison[[#This Row],[record_identifier]],keyword_comparison[Review],"&lt;&gt;")</f>
        <v>0</v>
      </c>
      <c r="Q238" cm="1">
        <f t="array" ref="Q238">SUMPRODUCT((keyword_comparison[record_identifier]=keyword_comparison[[#This Row],[record_identifier]])*(LEN(keyword_comparison[keyword_matcher_output])&gt;0))</f>
        <v>2</v>
      </c>
    </row>
    <row r="239" spans="1:17" x14ac:dyDescent="0.25">
      <c r="A239" t="s">
        <v>283</v>
      </c>
      <c r="B239" t="s">
        <v>284</v>
      </c>
      <c r="C239" t="s">
        <v>285</v>
      </c>
      <c r="D239" t="s">
        <v>20</v>
      </c>
      <c r="E239" t="s">
        <v>21</v>
      </c>
      <c r="F239" t="s">
        <v>287</v>
      </c>
      <c r="G239" t="s">
        <v>23</v>
      </c>
      <c r="H239" t="s">
        <v>288</v>
      </c>
      <c r="P239">
        <f>COUNTIFS(keyword_comparison[record_identifier],keyword_comparison[[#This Row],[record_identifier]],keyword_comparison[Review],"&lt;&gt;")</f>
        <v>0</v>
      </c>
      <c r="Q239" cm="1">
        <f t="array" ref="Q239">SUMPRODUCT((keyword_comparison[record_identifier]=keyword_comparison[[#This Row],[record_identifier]])*(LEN(keyword_comparison[keyword_matcher_output])&gt;0))</f>
        <v>2</v>
      </c>
    </row>
    <row r="240" spans="1:17" x14ac:dyDescent="0.25">
      <c r="A240" t="s">
        <v>283</v>
      </c>
      <c r="B240" t="s">
        <v>284</v>
      </c>
      <c r="C240" t="s">
        <v>285</v>
      </c>
      <c r="D240" t="s">
        <v>20</v>
      </c>
      <c r="E240" t="s">
        <v>21</v>
      </c>
      <c r="F240" t="s">
        <v>289</v>
      </c>
      <c r="G240" t="s">
        <v>23</v>
      </c>
      <c r="H240" t="s">
        <v>54</v>
      </c>
      <c r="P240">
        <f>COUNTIFS(keyword_comparison[record_identifier],keyword_comparison[[#This Row],[record_identifier]],keyword_comparison[Review],"&lt;&gt;")</f>
        <v>0</v>
      </c>
      <c r="Q240" cm="1">
        <f t="array" ref="Q240">SUMPRODUCT((keyword_comparison[record_identifier]=keyword_comparison[[#This Row],[record_identifier]])*(LEN(keyword_comparison[keyword_matcher_output])&gt;0))</f>
        <v>2</v>
      </c>
    </row>
    <row r="241" spans="1:17" x14ac:dyDescent="0.25">
      <c r="A241" t="s">
        <v>283</v>
      </c>
      <c r="B241" t="s">
        <v>284</v>
      </c>
      <c r="C241" t="s">
        <v>285</v>
      </c>
      <c r="D241" t="s">
        <v>20</v>
      </c>
      <c r="E241" t="s">
        <v>21</v>
      </c>
      <c r="F241" t="s">
        <v>290</v>
      </c>
      <c r="G241" t="s">
        <v>23</v>
      </c>
      <c r="H241" t="s">
        <v>54</v>
      </c>
      <c r="P241">
        <f>COUNTIFS(keyword_comparison[record_identifier],keyword_comparison[[#This Row],[record_identifier]],keyword_comparison[Review],"&lt;&gt;")</f>
        <v>0</v>
      </c>
      <c r="Q241" cm="1">
        <f t="array" ref="Q241">SUMPRODUCT((keyword_comparison[record_identifier]=keyword_comparison[[#This Row],[record_identifier]])*(LEN(keyword_comparison[keyword_matcher_output])&gt;0))</f>
        <v>2</v>
      </c>
    </row>
    <row r="242" spans="1:17" x14ac:dyDescent="0.25">
      <c r="A242" t="s">
        <v>283</v>
      </c>
      <c r="B242" t="s">
        <v>284</v>
      </c>
      <c r="C242" t="s">
        <v>285</v>
      </c>
      <c r="D242" t="s">
        <v>20</v>
      </c>
      <c r="E242" t="s">
        <v>21</v>
      </c>
      <c r="F242" t="s">
        <v>84</v>
      </c>
      <c r="G242" t="s">
        <v>23</v>
      </c>
      <c r="H242" t="s">
        <v>85</v>
      </c>
      <c r="P242">
        <f>COUNTIFS(keyword_comparison[record_identifier],keyword_comparison[[#This Row],[record_identifier]],keyword_comparison[Review],"&lt;&gt;")</f>
        <v>0</v>
      </c>
      <c r="Q242" cm="1">
        <f t="array" ref="Q242">SUMPRODUCT((keyword_comparison[record_identifier]=keyword_comparison[[#This Row],[record_identifier]])*(LEN(keyword_comparison[keyword_matcher_output])&gt;0))</f>
        <v>2</v>
      </c>
    </row>
    <row r="243" spans="1:17" x14ac:dyDescent="0.25">
      <c r="A243" t="s">
        <v>283</v>
      </c>
      <c r="B243" t="s">
        <v>284</v>
      </c>
      <c r="C243" t="s">
        <v>285</v>
      </c>
      <c r="D243" t="s">
        <v>20</v>
      </c>
      <c r="E243" t="s">
        <v>21</v>
      </c>
      <c r="F243" t="s">
        <v>291</v>
      </c>
      <c r="G243" t="s">
        <v>23</v>
      </c>
      <c r="H243" t="s">
        <v>54</v>
      </c>
      <c r="P243">
        <f>COUNTIFS(keyword_comparison[record_identifier],keyword_comparison[[#This Row],[record_identifier]],keyword_comparison[Review],"&lt;&gt;")</f>
        <v>0</v>
      </c>
      <c r="Q243" cm="1">
        <f t="array" ref="Q243">SUMPRODUCT((keyword_comparison[record_identifier]=keyword_comparison[[#This Row],[record_identifier]])*(LEN(keyword_comparison[keyword_matcher_output])&gt;0))</f>
        <v>2</v>
      </c>
    </row>
    <row r="244" spans="1:17" x14ac:dyDescent="0.25">
      <c r="A244" t="s">
        <v>283</v>
      </c>
      <c r="B244" t="s">
        <v>284</v>
      </c>
      <c r="C244" t="s">
        <v>285</v>
      </c>
      <c r="D244" t="s">
        <v>20</v>
      </c>
      <c r="E244" t="s">
        <v>21</v>
      </c>
      <c r="F244" t="s">
        <v>70</v>
      </c>
      <c r="G244" t="s">
        <v>31</v>
      </c>
      <c r="H244" t="s">
        <v>54</v>
      </c>
      <c r="P244">
        <f>COUNTIFS(keyword_comparison[record_identifier],keyword_comparison[[#This Row],[record_identifier]],keyword_comparison[Review],"&lt;&gt;")</f>
        <v>0</v>
      </c>
      <c r="Q244" cm="1">
        <f t="array" ref="Q244">SUMPRODUCT((keyword_comparison[record_identifier]=keyword_comparison[[#This Row],[record_identifier]])*(LEN(keyword_comparison[keyword_matcher_output])&gt;0))</f>
        <v>2</v>
      </c>
    </row>
    <row r="245" spans="1:17" x14ac:dyDescent="0.25">
      <c r="A245" t="s">
        <v>283</v>
      </c>
      <c r="B245" t="s">
        <v>284</v>
      </c>
      <c r="C245" t="s">
        <v>285</v>
      </c>
      <c r="D245" t="s">
        <v>20</v>
      </c>
      <c r="E245" t="s">
        <v>21</v>
      </c>
      <c r="F245" t="s">
        <v>158</v>
      </c>
      <c r="G245" t="s">
        <v>31</v>
      </c>
      <c r="H245" t="s">
        <v>54</v>
      </c>
      <c r="P245">
        <f>COUNTIFS(keyword_comparison[record_identifier],keyword_comparison[[#This Row],[record_identifier]],keyword_comparison[Review],"&lt;&gt;")</f>
        <v>0</v>
      </c>
      <c r="Q245" cm="1">
        <f t="array" ref="Q245">SUMPRODUCT((keyword_comparison[record_identifier]=keyword_comparison[[#This Row],[record_identifier]])*(LEN(keyword_comparison[keyword_matcher_output])&gt;0))</f>
        <v>2</v>
      </c>
    </row>
    <row r="246" spans="1:17" x14ac:dyDescent="0.25">
      <c r="A246" t="s">
        <v>283</v>
      </c>
      <c r="B246" t="s">
        <v>284</v>
      </c>
      <c r="C246" t="s">
        <v>285</v>
      </c>
      <c r="D246" t="s">
        <v>20</v>
      </c>
      <c r="E246" t="s">
        <v>21</v>
      </c>
      <c r="F246" t="s">
        <v>69</v>
      </c>
      <c r="G246" t="s">
        <v>31</v>
      </c>
      <c r="H246" t="s">
        <v>54</v>
      </c>
      <c r="P246">
        <f>COUNTIFS(keyword_comparison[record_identifier],keyword_comparison[[#This Row],[record_identifier]],keyword_comparison[Review],"&lt;&gt;")</f>
        <v>0</v>
      </c>
      <c r="Q246" cm="1">
        <f t="array" ref="Q246">SUMPRODUCT((keyword_comparison[record_identifier]=keyword_comparison[[#This Row],[record_identifier]])*(LEN(keyword_comparison[keyword_matcher_output])&gt;0))</f>
        <v>2</v>
      </c>
    </row>
    <row r="247" spans="1:17" x14ac:dyDescent="0.25">
      <c r="A247" t="s">
        <v>283</v>
      </c>
      <c r="B247" t="s">
        <v>284</v>
      </c>
      <c r="C247" t="s">
        <v>285</v>
      </c>
      <c r="D247" t="s">
        <v>20</v>
      </c>
      <c r="E247" t="s">
        <v>21</v>
      </c>
      <c r="F247" t="s">
        <v>292</v>
      </c>
      <c r="G247" t="s">
        <v>72</v>
      </c>
      <c r="H247" t="s">
        <v>54</v>
      </c>
      <c r="P247">
        <f>COUNTIFS(keyword_comparison[record_identifier],keyword_comparison[[#This Row],[record_identifier]],keyword_comparison[Review],"&lt;&gt;")</f>
        <v>0</v>
      </c>
      <c r="Q247" cm="1">
        <f t="array" ref="Q247">SUMPRODUCT((keyword_comparison[record_identifier]=keyword_comparison[[#This Row],[record_identifier]])*(LEN(keyword_comparison[keyword_matcher_output])&gt;0))</f>
        <v>2</v>
      </c>
    </row>
    <row r="248" spans="1:17" x14ac:dyDescent="0.25">
      <c r="A248" t="s">
        <v>283</v>
      </c>
      <c r="B248" t="s">
        <v>284</v>
      </c>
      <c r="C248" t="s">
        <v>285</v>
      </c>
      <c r="D248" t="s">
        <v>20</v>
      </c>
      <c r="E248" t="s">
        <v>21</v>
      </c>
      <c r="F248" t="s">
        <v>74</v>
      </c>
      <c r="G248" t="s">
        <v>72</v>
      </c>
      <c r="H248" t="s">
        <v>54</v>
      </c>
      <c r="P248">
        <f>COUNTIFS(keyword_comparison[record_identifier],keyword_comparison[[#This Row],[record_identifier]],keyword_comparison[Review],"&lt;&gt;")</f>
        <v>0</v>
      </c>
      <c r="Q248" cm="1">
        <f t="array" ref="Q248">SUMPRODUCT((keyword_comparison[record_identifier]=keyword_comparison[[#This Row],[record_identifier]])*(LEN(keyword_comparison[keyword_matcher_output])&gt;0))</f>
        <v>2</v>
      </c>
    </row>
    <row r="249" spans="1:17" x14ac:dyDescent="0.25">
      <c r="A249" t="s">
        <v>283</v>
      </c>
      <c r="B249" t="s">
        <v>284</v>
      </c>
      <c r="C249" t="s">
        <v>285</v>
      </c>
      <c r="D249" t="s">
        <v>20</v>
      </c>
      <c r="E249" t="s">
        <v>21</v>
      </c>
      <c r="F249" t="s">
        <v>293</v>
      </c>
      <c r="G249" t="s">
        <v>23</v>
      </c>
      <c r="H249" t="s">
        <v>54</v>
      </c>
      <c r="P249">
        <f>COUNTIFS(keyword_comparison[record_identifier],keyword_comparison[[#This Row],[record_identifier]],keyword_comparison[Review],"&lt;&gt;")</f>
        <v>0</v>
      </c>
      <c r="Q249" cm="1">
        <f t="array" ref="Q249">SUMPRODUCT((keyword_comparison[record_identifier]=keyword_comparison[[#This Row],[record_identifier]])*(LEN(keyword_comparison[keyword_matcher_output])&gt;0))</f>
        <v>2</v>
      </c>
    </row>
    <row r="250" spans="1:17" x14ac:dyDescent="0.25">
      <c r="A250" t="s">
        <v>283</v>
      </c>
      <c r="B250" t="s">
        <v>284</v>
      </c>
      <c r="C250" t="s">
        <v>285</v>
      </c>
      <c r="D250" t="s">
        <v>20</v>
      </c>
      <c r="E250" t="s">
        <v>21</v>
      </c>
      <c r="F250" t="s">
        <v>294</v>
      </c>
      <c r="G250" t="s">
        <v>23</v>
      </c>
      <c r="H250" t="s">
        <v>54</v>
      </c>
      <c r="P250">
        <f>COUNTIFS(keyword_comparison[record_identifier],keyword_comparison[[#This Row],[record_identifier]],keyword_comparison[Review],"&lt;&gt;")</f>
        <v>0</v>
      </c>
      <c r="Q250" cm="1">
        <f t="array" ref="Q250">SUMPRODUCT((keyword_comparison[record_identifier]=keyword_comparison[[#This Row],[record_identifier]])*(LEN(keyword_comparison[keyword_matcher_output])&gt;0))</f>
        <v>2</v>
      </c>
    </row>
    <row r="251" spans="1:17" x14ac:dyDescent="0.25">
      <c r="A251" t="s">
        <v>283</v>
      </c>
      <c r="B251" t="s">
        <v>284</v>
      </c>
      <c r="C251" t="s">
        <v>285</v>
      </c>
      <c r="D251" t="s">
        <v>20</v>
      </c>
      <c r="E251" t="s">
        <v>21</v>
      </c>
      <c r="F251" t="s">
        <v>295</v>
      </c>
      <c r="G251" t="s">
        <v>23</v>
      </c>
      <c r="H251" t="s">
        <v>54</v>
      </c>
      <c r="P251">
        <f>COUNTIFS(keyword_comparison[record_identifier],keyword_comparison[[#This Row],[record_identifier]],keyword_comparison[Review],"&lt;&gt;")</f>
        <v>0</v>
      </c>
      <c r="Q251" cm="1">
        <f t="array" ref="Q251">SUMPRODUCT((keyword_comparison[record_identifier]=keyword_comparison[[#This Row],[record_identifier]])*(LEN(keyword_comparison[keyword_matcher_output])&gt;0))</f>
        <v>2</v>
      </c>
    </row>
    <row r="252" spans="1:17" x14ac:dyDescent="0.25">
      <c r="A252" t="s">
        <v>283</v>
      </c>
      <c r="B252" t="s">
        <v>284</v>
      </c>
      <c r="C252" t="s">
        <v>285</v>
      </c>
      <c r="D252" t="s">
        <v>20</v>
      </c>
      <c r="E252" t="s">
        <v>21</v>
      </c>
      <c r="F252" t="s">
        <v>296</v>
      </c>
      <c r="G252" t="s">
        <v>23</v>
      </c>
      <c r="H252" t="s">
        <v>54</v>
      </c>
      <c r="P252">
        <f>COUNTIFS(keyword_comparison[record_identifier],keyword_comparison[[#This Row],[record_identifier]],keyword_comparison[Review],"&lt;&gt;")</f>
        <v>0</v>
      </c>
      <c r="Q252" cm="1">
        <f t="array" ref="Q252">SUMPRODUCT((keyword_comparison[record_identifier]=keyword_comparison[[#This Row],[record_identifier]])*(LEN(keyword_comparison[keyword_matcher_output])&gt;0))</f>
        <v>2</v>
      </c>
    </row>
    <row r="253" spans="1:17" x14ac:dyDescent="0.25">
      <c r="A253" t="s">
        <v>283</v>
      </c>
      <c r="B253" t="s">
        <v>284</v>
      </c>
      <c r="C253" t="s">
        <v>285</v>
      </c>
      <c r="D253" t="s">
        <v>20</v>
      </c>
      <c r="E253" t="s">
        <v>21</v>
      </c>
      <c r="F253" t="s">
        <v>297</v>
      </c>
      <c r="G253" t="s">
        <v>23</v>
      </c>
      <c r="H253" t="s">
        <v>54</v>
      </c>
      <c r="P253">
        <f>COUNTIFS(keyword_comparison[record_identifier],keyword_comparison[[#This Row],[record_identifier]],keyword_comparison[Review],"&lt;&gt;")</f>
        <v>0</v>
      </c>
      <c r="Q253" cm="1">
        <f t="array" ref="Q253">SUMPRODUCT((keyword_comparison[record_identifier]=keyword_comparison[[#This Row],[record_identifier]])*(LEN(keyword_comparison[keyword_matcher_output])&gt;0))</f>
        <v>2</v>
      </c>
    </row>
    <row r="254" spans="1:17" x14ac:dyDescent="0.25">
      <c r="A254" t="s">
        <v>283</v>
      </c>
      <c r="B254" t="s">
        <v>284</v>
      </c>
      <c r="C254" t="s">
        <v>285</v>
      </c>
      <c r="D254" t="s">
        <v>20</v>
      </c>
      <c r="E254" t="s">
        <v>33</v>
      </c>
      <c r="H254" t="s">
        <v>54</v>
      </c>
      <c r="J254" t="s">
        <v>298</v>
      </c>
      <c r="K254" t="s">
        <v>299</v>
      </c>
      <c r="M254">
        <v>0.67490000000000006</v>
      </c>
      <c r="N254">
        <v>1</v>
      </c>
      <c r="P254">
        <f>COUNTIFS(keyword_comparison[record_identifier],keyword_comparison[[#This Row],[record_identifier]],keyword_comparison[Review],"&lt;&gt;")</f>
        <v>0</v>
      </c>
      <c r="Q254" cm="1">
        <f t="array" ref="Q254">SUMPRODUCT((keyword_comparison[record_identifier]=keyword_comparison[[#This Row],[record_identifier]])*(LEN(keyword_comparison[keyword_matcher_output])&gt;0))</f>
        <v>2</v>
      </c>
    </row>
    <row r="255" spans="1:17" x14ac:dyDescent="0.25">
      <c r="A255" t="s">
        <v>283</v>
      </c>
      <c r="B255" t="s">
        <v>284</v>
      </c>
      <c r="C255" t="s">
        <v>285</v>
      </c>
      <c r="D255" t="s">
        <v>20</v>
      </c>
      <c r="E255" t="s">
        <v>33</v>
      </c>
      <c r="H255" t="s">
        <v>54</v>
      </c>
      <c r="J255" t="s">
        <v>300</v>
      </c>
      <c r="K255" t="s">
        <v>301</v>
      </c>
      <c r="L255" t="b">
        <v>1</v>
      </c>
      <c r="M255">
        <v>0.5544</v>
      </c>
      <c r="N255">
        <v>2</v>
      </c>
      <c r="P255">
        <f>COUNTIFS(keyword_comparison[record_identifier],keyword_comparison[[#This Row],[record_identifier]],keyword_comparison[Review],"&lt;&gt;")</f>
        <v>0</v>
      </c>
      <c r="Q255" cm="1">
        <f t="array" ref="Q255">SUMPRODUCT((keyword_comparison[record_identifier]=keyword_comparison[[#This Row],[record_identifier]])*(LEN(keyword_comparison[keyword_matcher_output])&gt;0))</f>
        <v>2</v>
      </c>
    </row>
    <row r="256" spans="1:17" x14ac:dyDescent="0.25">
      <c r="A256" t="s">
        <v>283</v>
      </c>
      <c r="B256" t="s">
        <v>284</v>
      </c>
      <c r="C256" t="s">
        <v>285</v>
      </c>
      <c r="D256" t="s">
        <v>20</v>
      </c>
      <c r="E256" t="s">
        <v>33</v>
      </c>
      <c r="H256" t="s">
        <v>54</v>
      </c>
      <c r="J256" t="s">
        <v>184</v>
      </c>
      <c r="K256" t="s">
        <v>185</v>
      </c>
      <c r="M256">
        <v>0.29160000000000003</v>
      </c>
      <c r="N256">
        <v>3</v>
      </c>
      <c r="P256">
        <f>COUNTIFS(keyword_comparison[record_identifier],keyword_comparison[[#This Row],[record_identifier]],keyword_comparison[Review],"&lt;&gt;")</f>
        <v>0</v>
      </c>
      <c r="Q256" cm="1">
        <f t="array" ref="Q256">SUMPRODUCT((keyword_comparison[record_identifier]=keyword_comparison[[#This Row],[record_identifier]])*(LEN(keyword_comparison[keyword_matcher_output])&gt;0))</f>
        <v>2</v>
      </c>
    </row>
    <row r="257" spans="1:17" x14ac:dyDescent="0.25">
      <c r="A257" t="s">
        <v>283</v>
      </c>
      <c r="B257" t="s">
        <v>284</v>
      </c>
      <c r="C257" t="s">
        <v>285</v>
      </c>
      <c r="D257" t="s">
        <v>20</v>
      </c>
      <c r="E257" t="s">
        <v>33</v>
      </c>
      <c r="H257" t="s">
        <v>54</v>
      </c>
      <c r="J257" t="s">
        <v>302</v>
      </c>
      <c r="K257" t="s">
        <v>303</v>
      </c>
      <c r="M257">
        <v>0.17519999999999999</v>
      </c>
      <c r="N257">
        <v>4</v>
      </c>
      <c r="P257">
        <f>COUNTIFS(keyword_comparison[record_identifier],keyword_comparison[[#This Row],[record_identifier]],keyword_comparison[Review],"&lt;&gt;")</f>
        <v>0</v>
      </c>
      <c r="Q257" cm="1">
        <f t="array" ref="Q257">SUMPRODUCT((keyword_comparison[record_identifier]=keyword_comparison[[#This Row],[record_identifier]])*(LEN(keyword_comparison[keyword_matcher_output])&gt;0))</f>
        <v>2</v>
      </c>
    </row>
    <row r="258" spans="1:17" x14ac:dyDescent="0.25">
      <c r="A258" t="s">
        <v>283</v>
      </c>
      <c r="B258" t="s">
        <v>284</v>
      </c>
      <c r="C258" t="s">
        <v>285</v>
      </c>
      <c r="D258" t="s">
        <v>20</v>
      </c>
      <c r="E258" t="s">
        <v>33</v>
      </c>
      <c r="H258" t="s">
        <v>54</v>
      </c>
      <c r="J258" t="s">
        <v>304</v>
      </c>
      <c r="K258" t="s">
        <v>305</v>
      </c>
      <c r="M258">
        <v>0.1265</v>
      </c>
      <c r="N258">
        <v>5</v>
      </c>
      <c r="P258">
        <f>COUNTIFS(keyword_comparison[record_identifier],keyword_comparison[[#This Row],[record_identifier]],keyword_comparison[Review],"&lt;&gt;")</f>
        <v>0</v>
      </c>
      <c r="Q258" cm="1">
        <f t="array" ref="Q258">SUMPRODUCT((keyword_comparison[record_identifier]=keyword_comparison[[#This Row],[record_identifier]])*(LEN(keyword_comparison[keyword_matcher_output])&gt;0))</f>
        <v>2</v>
      </c>
    </row>
    <row r="259" spans="1:17" x14ac:dyDescent="0.25">
      <c r="A259" t="s">
        <v>283</v>
      </c>
      <c r="B259" t="s">
        <v>284</v>
      </c>
      <c r="C259" t="s">
        <v>285</v>
      </c>
      <c r="D259" t="s">
        <v>20</v>
      </c>
      <c r="E259" t="s">
        <v>33</v>
      </c>
      <c r="H259" t="s">
        <v>54</v>
      </c>
      <c r="J259" t="s">
        <v>306</v>
      </c>
      <c r="K259" t="s">
        <v>307</v>
      </c>
      <c r="M259">
        <v>0.123</v>
      </c>
      <c r="N259">
        <v>6</v>
      </c>
      <c r="P259">
        <f>COUNTIFS(keyword_comparison[record_identifier],keyword_comparison[[#This Row],[record_identifier]],keyword_comparison[Review],"&lt;&gt;")</f>
        <v>0</v>
      </c>
      <c r="Q259" cm="1">
        <f t="array" ref="Q259">SUMPRODUCT((keyword_comparison[record_identifier]=keyword_comparison[[#This Row],[record_identifier]])*(LEN(keyword_comparison[keyword_matcher_output])&gt;0))</f>
        <v>2</v>
      </c>
    </row>
    <row r="260" spans="1:17" x14ac:dyDescent="0.25">
      <c r="A260" t="s">
        <v>283</v>
      </c>
      <c r="B260" t="s">
        <v>284</v>
      </c>
      <c r="C260" t="s">
        <v>285</v>
      </c>
      <c r="D260" t="s">
        <v>20</v>
      </c>
      <c r="E260" t="s">
        <v>33</v>
      </c>
      <c r="H260" t="s">
        <v>54</v>
      </c>
      <c r="J260" t="s">
        <v>308</v>
      </c>
      <c r="K260" t="s">
        <v>309</v>
      </c>
      <c r="M260">
        <v>0.1048</v>
      </c>
      <c r="N260">
        <v>7</v>
      </c>
      <c r="P260">
        <f>COUNTIFS(keyword_comparison[record_identifier],keyword_comparison[[#This Row],[record_identifier]],keyword_comparison[Review],"&lt;&gt;")</f>
        <v>0</v>
      </c>
      <c r="Q260" cm="1">
        <f t="array" ref="Q260">SUMPRODUCT((keyword_comparison[record_identifier]=keyword_comparison[[#This Row],[record_identifier]])*(LEN(keyword_comparison[keyword_matcher_output])&gt;0))</f>
        <v>2</v>
      </c>
    </row>
    <row r="261" spans="1:17" x14ac:dyDescent="0.25">
      <c r="A261" t="s">
        <v>283</v>
      </c>
      <c r="B261" t="s">
        <v>284</v>
      </c>
      <c r="C261" t="s">
        <v>285</v>
      </c>
      <c r="D261" t="s">
        <v>20</v>
      </c>
      <c r="E261" t="s">
        <v>33</v>
      </c>
      <c r="H261" t="s">
        <v>54</v>
      </c>
      <c r="J261" t="s">
        <v>222</v>
      </c>
      <c r="K261" t="s">
        <v>223</v>
      </c>
      <c r="M261">
        <v>9.35E-2</v>
      </c>
      <c r="N261">
        <v>8</v>
      </c>
      <c r="P261">
        <f>COUNTIFS(keyword_comparison[record_identifier],keyword_comparison[[#This Row],[record_identifier]],keyword_comparison[Review],"&lt;&gt;")</f>
        <v>0</v>
      </c>
      <c r="Q261" cm="1">
        <f t="array" ref="Q261">SUMPRODUCT((keyword_comparison[record_identifier]=keyword_comparison[[#This Row],[record_identifier]])*(LEN(keyword_comparison[keyword_matcher_output])&gt;0))</f>
        <v>2</v>
      </c>
    </row>
    <row r="262" spans="1:17" x14ac:dyDescent="0.25">
      <c r="A262" t="s">
        <v>283</v>
      </c>
      <c r="B262" t="s">
        <v>284</v>
      </c>
      <c r="C262" t="s">
        <v>285</v>
      </c>
      <c r="D262" t="s">
        <v>20</v>
      </c>
      <c r="E262" t="s">
        <v>33</v>
      </c>
      <c r="H262" t="s">
        <v>54</v>
      </c>
      <c r="J262" t="s">
        <v>310</v>
      </c>
      <c r="K262" t="s">
        <v>311</v>
      </c>
      <c r="M262">
        <v>9.3100000000000002E-2</v>
      </c>
      <c r="N262">
        <v>9</v>
      </c>
      <c r="P262">
        <f>COUNTIFS(keyword_comparison[record_identifier],keyword_comparison[[#This Row],[record_identifier]],keyword_comparison[Review],"&lt;&gt;")</f>
        <v>0</v>
      </c>
      <c r="Q262" cm="1">
        <f t="array" ref="Q262">SUMPRODUCT((keyword_comparison[record_identifier]=keyword_comparison[[#This Row],[record_identifier]])*(LEN(keyword_comparison[keyword_matcher_output])&gt;0))</f>
        <v>2</v>
      </c>
    </row>
    <row r="263" spans="1:17" x14ac:dyDescent="0.25">
      <c r="A263" t="s">
        <v>283</v>
      </c>
      <c r="B263" t="s">
        <v>284</v>
      </c>
      <c r="C263" t="s">
        <v>285</v>
      </c>
      <c r="D263" t="s">
        <v>20</v>
      </c>
      <c r="E263" t="s">
        <v>33</v>
      </c>
      <c r="H263" t="s">
        <v>54</v>
      </c>
      <c r="J263" t="s">
        <v>312</v>
      </c>
      <c r="K263" t="s">
        <v>313</v>
      </c>
      <c r="M263">
        <v>7.7899999999999997E-2</v>
      </c>
      <c r="N263">
        <v>10</v>
      </c>
      <c r="P263">
        <f>COUNTIFS(keyword_comparison[record_identifier],keyword_comparison[[#This Row],[record_identifier]],keyword_comparison[Review],"&lt;&gt;")</f>
        <v>0</v>
      </c>
      <c r="Q263" cm="1">
        <f t="array" ref="Q263">SUMPRODUCT((keyword_comparison[record_identifier]=keyword_comparison[[#This Row],[record_identifier]])*(LEN(keyword_comparison[keyword_matcher_output])&gt;0))</f>
        <v>2</v>
      </c>
    </row>
    <row r="264" spans="1:17" x14ac:dyDescent="0.25">
      <c r="A264" t="s">
        <v>283</v>
      </c>
      <c r="B264" t="s">
        <v>284</v>
      </c>
      <c r="C264" t="s">
        <v>285</v>
      </c>
      <c r="D264" t="s">
        <v>20</v>
      </c>
      <c r="E264" t="s">
        <v>48</v>
      </c>
      <c r="H264" t="s">
        <v>54</v>
      </c>
      <c r="J264" t="s">
        <v>84</v>
      </c>
      <c r="K264" t="s">
        <v>85</v>
      </c>
      <c r="P264">
        <f>COUNTIFS(keyword_comparison[record_identifier],keyword_comparison[[#This Row],[record_identifier]],keyword_comparison[Review],"&lt;&gt;")</f>
        <v>0</v>
      </c>
      <c r="Q264" cm="1">
        <f t="array" ref="Q264">SUMPRODUCT((keyword_comparison[record_identifier]=keyword_comparison[[#This Row],[record_identifier]])*(LEN(keyword_comparison[keyword_matcher_output])&gt;0))</f>
        <v>2</v>
      </c>
    </row>
    <row r="265" spans="1:17" x14ac:dyDescent="0.25">
      <c r="A265" t="s">
        <v>283</v>
      </c>
      <c r="B265" t="s">
        <v>284</v>
      </c>
      <c r="C265" t="s">
        <v>285</v>
      </c>
      <c r="D265" t="s">
        <v>20</v>
      </c>
      <c r="E265" t="s">
        <v>48</v>
      </c>
      <c r="H265" t="s">
        <v>54</v>
      </c>
      <c r="J265" t="s">
        <v>199</v>
      </c>
      <c r="K265" t="s">
        <v>200</v>
      </c>
      <c r="P265">
        <f>COUNTIFS(keyword_comparison[record_identifier],keyword_comparison[[#This Row],[record_identifier]],keyword_comparison[Review],"&lt;&gt;")</f>
        <v>0</v>
      </c>
      <c r="Q265" cm="1">
        <f t="array" ref="Q265">SUMPRODUCT((keyword_comparison[record_identifier]=keyword_comparison[[#This Row],[record_identifier]])*(LEN(keyword_comparison[keyword_matcher_output])&gt;0))</f>
        <v>2</v>
      </c>
    </row>
    <row r="266" spans="1:17" x14ac:dyDescent="0.25">
      <c r="A266" t="s">
        <v>283</v>
      </c>
      <c r="B266" t="s">
        <v>284</v>
      </c>
      <c r="C266" t="s">
        <v>285</v>
      </c>
      <c r="D266" t="s">
        <v>20</v>
      </c>
      <c r="E266" t="s">
        <v>48</v>
      </c>
      <c r="H266" t="s">
        <v>54</v>
      </c>
      <c r="J266" t="s">
        <v>201</v>
      </c>
      <c r="K266" t="s">
        <v>200</v>
      </c>
      <c r="P266">
        <f>COUNTIFS(keyword_comparison[record_identifier],keyword_comparison[[#This Row],[record_identifier]],keyword_comparison[Review],"&lt;&gt;")</f>
        <v>0</v>
      </c>
      <c r="Q266" cm="1">
        <f t="array" ref="Q266">SUMPRODUCT((keyword_comparison[record_identifier]=keyword_comparison[[#This Row],[record_identifier]])*(LEN(keyword_comparison[keyword_matcher_output])&gt;0))</f>
        <v>2</v>
      </c>
    </row>
    <row r="267" spans="1:17" x14ac:dyDescent="0.25">
      <c r="A267" t="s">
        <v>283</v>
      </c>
      <c r="B267" t="s">
        <v>284</v>
      </c>
      <c r="C267" t="s">
        <v>285</v>
      </c>
      <c r="D267" t="s">
        <v>20</v>
      </c>
      <c r="E267" t="s">
        <v>53</v>
      </c>
      <c r="F267" t="s">
        <v>54</v>
      </c>
      <c r="G267" t="s">
        <v>54</v>
      </c>
      <c r="H267" t="s">
        <v>54</v>
      </c>
      <c r="J267" t="s">
        <v>306</v>
      </c>
      <c r="K267" t="s">
        <v>307</v>
      </c>
      <c r="O267">
        <v>1</v>
      </c>
      <c r="P267">
        <f>COUNTIFS(keyword_comparison[record_identifier],keyword_comparison[[#This Row],[record_identifier]],keyword_comparison[Review],"&lt;&gt;")</f>
        <v>0</v>
      </c>
      <c r="Q267" cm="1">
        <f t="array" ref="Q267">SUMPRODUCT((keyword_comparison[record_identifier]=keyword_comparison[[#This Row],[record_identifier]])*(LEN(keyword_comparison[keyword_matcher_output])&gt;0))</f>
        <v>2</v>
      </c>
    </row>
    <row r="268" spans="1:17" x14ac:dyDescent="0.25">
      <c r="A268" t="s">
        <v>283</v>
      </c>
      <c r="B268" t="s">
        <v>284</v>
      </c>
      <c r="C268" t="s">
        <v>285</v>
      </c>
      <c r="D268" t="s">
        <v>20</v>
      </c>
      <c r="E268" t="s">
        <v>53</v>
      </c>
      <c r="F268" t="s">
        <v>54</v>
      </c>
      <c r="G268" t="s">
        <v>54</v>
      </c>
      <c r="H268" t="s">
        <v>54</v>
      </c>
      <c r="J268" t="s">
        <v>314</v>
      </c>
      <c r="K268" t="s">
        <v>315</v>
      </c>
      <c r="O268">
        <v>2</v>
      </c>
      <c r="P268">
        <f>COUNTIFS(keyword_comparison[record_identifier],keyword_comparison[[#This Row],[record_identifier]],keyword_comparison[Review],"&lt;&gt;")</f>
        <v>0</v>
      </c>
      <c r="Q268" cm="1">
        <f t="array" ref="Q268">SUMPRODUCT((keyword_comparison[record_identifier]=keyword_comparison[[#This Row],[record_identifier]])*(LEN(keyword_comparison[keyword_matcher_output])&gt;0))</f>
        <v>2</v>
      </c>
    </row>
    <row r="269" spans="1:17" x14ac:dyDescent="0.25">
      <c r="A269" t="s">
        <v>283</v>
      </c>
      <c r="B269" t="s">
        <v>284</v>
      </c>
      <c r="C269" t="s">
        <v>285</v>
      </c>
      <c r="D269" t="s">
        <v>20</v>
      </c>
      <c r="E269" t="s">
        <v>53</v>
      </c>
      <c r="F269" t="s">
        <v>54</v>
      </c>
      <c r="G269" t="s">
        <v>54</v>
      </c>
      <c r="H269" t="s">
        <v>54</v>
      </c>
      <c r="J269" t="s">
        <v>316</v>
      </c>
      <c r="K269" t="s">
        <v>317</v>
      </c>
      <c r="O269">
        <v>3</v>
      </c>
      <c r="P269">
        <f>COUNTIFS(keyword_comparison[record_identifier],keyword_comparison[[#This Row],[record_identifier]],keyword_comparison[Review],"&lt;&gt;")</f>
        <v>0</v>
      </c>
      <c r="Q269" cm="1">
        <f t="array" ref="Q269">SUMPRODUCT((keyword_comparison[record_identifier]=keyword_comparison[[#This Row],[record_identifier]])*(LEN(keyword_comparison[keyword_matcher_output])&gt;0))</f>
        <v>2</v>
      </c>
    </row>
    <row r="270" spans="1:17" x14ac:dyDescent="0.25">
      <c r="A270" t="s">
        <v>283</v>
      </c>
      <c r="B270" t="s">
        <v>284</v>
      </c>
      <c r="C270" t="s">
        <v>285</v>
      </c>
      <c r="D270" t="s">
        <v>20</v>
      </c>
      <c r="E270" t="s">
        <v>53</v>
      </c>
      <c r="F270" t="s">
        <v>54</v>
      </c>
      <c r="G270" t="s">
        <v>54</v>
      </c>
      <c r="H270" t="s">
        <v>54</v>
      </c>
      <c r="J270" t="s">
        <v>300</v>
      </c>
      <c r="K270" t="s">
        <v>301</v>
      </c>
      <c r="O270">
        <v>4</v>
      </c>
      <c r="P270">
        <f>COUNTIFS(keyword_comparison[record_identifier],keyword_comparison[[#This Row],[record_identifier]],keyword_comparison[Review],"&lt;&gt;")</f>
        <v>0</v>
      </c>
      <c r="Q270" cm="1">
        <f t="array" ref="Q270">SUMPRODUCT((keyword_comparison[record_identifier]=keyword_comparison[[#This Row],[record_identifier]])*(LEN(keyword_comparison[keyword_matcher_output])&gt;0))</f>
        <v>2</v>
      </c>
    </row>
    <row r="271" spans="1:17" x14ac:dyDescent="0.25">
      <c r="A271" t="s">
        <v>283</v>
      </c>
      <c r="B271" t="s">
        <v>284</v>
      </c>
      <c r="C271" t="s">
        <v>285</v>
      </c>
      <c r="D271" t="s">
        <v>20</v>
      </c>
      <c r="E271" t="s">
        <v>53</v>
      </c>
      <c r="F271" t="s">
        <v>54</v>
      </c>
      <c r="G271" t="s">
        <v>54</v>
      </c>
      <c r="H271" t="s">
        <v>54</v>
      </c>
      <c r="J271" t="s">
        <v>318</v>
      </c>
      <c r="K271" t="s">
        <v>319</v>
      </c>
      <c r="O271">
        <v>5</v>
      </c>
      <c r="P271">
        <f>COUNTIFS(keyword_comparison[record_identifier],keyword_comparison[[#This Row],[record_identifier]],keyword_comparison[Review],"&lt;&gt;")</f>
        <v>0</v>
      </c>
      <c r="Q271" cm="1">
        <f t="array" ref="Q271">SUMPRODUCT((keyword_comparison[record_identifier]=keyword_comparison[[#This Row],[record_identifier]])*(LEN(keyword_comparison[keyword_matcher_output])&gt;0))</f>
        <v>2</v>
      </c>
    </row>
    <row r="272" spans="1:17" x14ac:dyDescent="0.25">
      <c r="A272" t="s">
        <v>283</v>
      </c>
      <c r="B272" t="s">
        <v>284</v>
      </c>
      <c r="C272" t="s">
        <v>285</v>
      </c>
      <c r="D272" t="s">
        <v>20</v>
      </c>
      <c r="E272" t="s">
        <v>53</v>
      </c>
      <c r="F272" t="s">
        <v>54</v>
      </c>
      <c r="G272" t="s">
        <v>54</v>
      </c>
      <c r="H272" t="s">
        <v>54</v>
      </c>
      <c r="J272" t="s">
        <v>320</v>
      </c>
      <c r="K272" t="s">
        <v>321</v>
      </c>
      <c r="O272">
        <v>6</v>
      </c>
      <c r="P272">
        <f>COUNTIFS(keyword_comparison[record_identifier],keyword_comparison[[#This Row],[record_identifier]],keyword_comparison[Review],"&lt;&gt;")</f>
        <v>0</v>
      </c>
      <c r="Q272" cm="1">
        <f t="array" ref="Q272">SUMPRODUCT((keyword_comparison[record_identifier]=keyword_comparison[[#This Row],[record_identifier]])*(LEN(keyword_comparison[keyword_matcher_output])&gt;0))</f>
        <v>2</v>
      </c>
    </row>
    <row r="273" spans="1:17" x14ac:dyDescent="0.25">
      <c r="A273" t="s">
        <v>283</v>
      </c>
      <c r="B273" t="s">
        <v>284</v>
      </c>
      <c r="C273" t="s">
        <v>285</v>
      </c>
      <c r="D273" t="s">
        <v>20</v>
      </c>
      <c r="E273" t="s">
        <v>53</v>
      </c>
      <c r="F273" t="s">
        <v>54</v>
      </c>
      <c r="G273" t="s">
        <v>54</v>
      </c>
      <c r="H273" t="s">
        <v>54</v>
      </c>
      <c r="J273" t="s">
        <v>322</v>
      </c>
      <c r="K273" t="s">
        <v>323</v>
      </c>
      <c r="O273">
        <v>7</v>
      </c>
      <c r="P273">
        <f>COUNTIFS(keyword_comparison[record_identifier],keyword_comparison[[#This Row],[record_identifier]],keyword_comparison[Review],"&lt;&gt;")</f>
        <v>0</v>
      </c>
      <c r="Q273" cm="1">
        <f t="array" ref="Q273">SUMPRODUCT((keyword_comparison[record_identifier]=keyword_comparison[[#This Row],[record_identifier]])*(LEN(keyword_comparison[keyword_matcher_output])&gt;0))</f>
        <v>2</v>
      </c>
    </row>
    <row r="274" spans="1:17" x14ac:dyDescent="0.25">
      <c r="A274" t="s">
        <v>283</v>
      </c>
      <c r="B274" t="s">
        <v>284</v>
      </c>
      <c r="C274" t="s">
        <v>285</v>
      </c>
      <c r="D274" t="s">
        <v>20</v>
      </c>
      <c r="E274" t="s">
        <v>53</v>
      </c>
      <c r="F274" t="s">
        <v>54</v>
      </c>
      <c r="G274" t="s">
        <v>54</v>
      </c>
      <c r="H274" t="s">
        <v>54</v>
      </c>
      <c r="J274" t="s">
        <v>277</v>
      </c>
      <c r="K274" t="s">
        <v>278</v>
      </c>
      <c r="O274">
        <v>8</v>
      </c>
      <c r="P274">
        <f>COUNTIFS(keyword_comparison[record_identifier],keyword_comparison[[#This Row],[record_identifier]],keyword_comparison[Review],"&lt;&gt;")</f>
        <v>0</v>
      </c>
      <c r="Q274" cm="1">
        <f t="array" ref="Q274">SUMPRODUCT((keyword_comparison[record_identifier]=keyword_comparison[[#This Row],[record_identifier]])*(LEN(keyword_comparison[keyword_matcher_output])&gt;0))</f>
        <v>2</v>
      </c>
    </row>
    <row r="275" spans="1:17" x14ac:dyDescent="0.25">
      <c r="A275" t="s">
        <v>283</v>
      </c>
      <c r="B275" t="s">
        <v>284</v>
      </c>
      <c r="C275" t="s">
        <v>285</v>
      </c>
      <c r="D275" t="s">
        <v>20</v>
      </c>
      <c r="E275" t="s">
        <v>53</v>
      </c>
      <c r="F275" t="s">
        <v>54</v>
      </c>
      <c r="G275" t="s">
        <v>54</v>
      </c>
      <c r="H275" t="s">
        <v>54</v>
      </c>
      <c r="J275" t="s">
        <v>324</v>
      </c>
      <c r="K275" t="s">
        <v>325</v>
      </c>
      <c r="O275">
        <v>9</v>
      </c>
      <c r="P275">
        <f>COUNTIFS(keyword_comparison[record_identifier],keyword_comparison[[#This Row],[record_identifier]],keyword_comparison[Review],"&lt;&gt;")</f>
        <v>0</v>
      </c>
      <c r="Q275" cm="1">
        <f t="array" ref="Q275">SUMPRODUCT((keyword_comparison[record_identifier]=keyword_comparison[[#This Row],[record_identifier]])*(LEN(keyword_comparison[keyword_matcher_output])&gt;0))</f>
        <v>2</v>
      </c>
    </row>
    <row r="276" spans="1:17" x14ac:dyDescent="0.25">
      <c r="A276" t="s">
        <v>326</v>
      </c>
      <c r="B276" t="s">
        <v>327</v>
      </c>
      <c r="C276" t="s">
        <v>328</v>
      </c>
      <c r="D276" t="s">
        <v>20</v>
      </c>
      <c r="E276" t="s">
        <v>21</v>
      </c>
      <c r="F276" t="s">
        <v>329</v>
      </c>
      <c r="G276" t="s">
        <v>23</v>
      </c>
      <c r="H276" t="s">
        <v>54</v>
      </c>
      <c r="P276">
        <f>COUNTIFS(keyword_comparison[record_identifier],keyword_comparison[[#This Row],[record_identifier]],keyword_comparison[Review],"&lt;&gt;")</f>
        <v>0</v>
      </c>
      <c r="Q276" cm="1">
        <f t="array" ref="Q276">SUMPRODUCT((keyword_comparison[record_identifier]=keyword_comparison[[#This Row],[record_identifier]])*(LEN(keyword_comparison[keyword_matcher_output])&gt;0))</f>
        <v>2</v>
      </c>
    </row>
    <row r="277" spans="1:17" x14ac:dyDescent="0.25">
      <c r="A277" t="s">
        <v>326</v>
      </c>
      <c r="B277" t="s">
        <v>327</v>
      </c>
      <c r="C277" t="s">
        <v>328</v>
      </c>
      <c r="D277" t="s">
        <v>20</v>
      </c>
      <c r="E277" t="s">
        <v>21</v>
      </c>
      <c r="F277" t="s">
        <v>330</v>
      </c>
      <c r="G277" t="s">
        <v>23</v>
      </c>
      <c r="H277" t="s">
        <v>54</v>
      </c>
      <c r="P277">
        <f>COUNTIFS(keyword_comparison[record_identifier],keyword_comparison[[#This Row],[record_identifier]],keyword_comparison[Review],"&lt;&gt;")</f>
        <v>0</v>
      </c>
      <c r="Q277" cm="1">
        <f t="array" ref="Q277">SUMPRODUCT((keyword_comparison[record_identifier]=keyword_comparison[[#This Row],[record_identifier]])*(LEN(keyword_comparison[keyword_matcher_output])&gt;0))</f>
        <v>2</v>
      </c>
    </row>
    <row r="278" spans="1:17" x14ac:dyDescent="0.25">
      <c r="A278" t="s">
        <v>326</v>
      </c>
      <c r="B278" t="s">
        <v>327</v>
      </c>
      <c r="C278" t="s">
        <v>328</v>
      </c>
      <c r="D278" t="s">
        <v>20</v>
      </c>
      <c r="E278" t="s">
        <v>21</v>
      </c>
      <c r="F278" t="s">
        <v>331</v>
      </c>
      <c r="G278" t="s">
        <v>23</v>
      </c>
      <c r="H278" t="s">
        <v>54</v>
      </c>
      <c r="P278">
        <f>COUNTIFS(keyword_comparison[record_identifier],keyword_comparison[[#This Row],[record_identifier]],keyword_comparison[Review],"&lt;&gt;")</f>
        <v>0</v>
      </c>
      <c r="Q278" cm="1">
        <f t="array" ref="Q278">SUMPRODUCT((keyword_comparison[record_identifier]=keyword_comparison[[#This Row],[record_identifier]])*(LEN(keyword_comparison[keyword_matcher_output])&gt;0))</f>
        <v>2</v>
      </c>
    </row>
    <row r="279" spans="1:17" x14ac:dyDescent="0.25">
      <c r="A279" t="s">
        <v>326</v>
      </c>
      <c r="B279" t="s">
        <v>327</v>
      </c>
      <c r="C279" t="s">
        <v>328</v>
      </c>
      <c r="D279" t="s">
        <v>20</v>
      </c>
      <c r="E279" t="s">
        <v>21</v>
      </c>
      <c r="F279" t="s">
        <v>332</v>
      </c>
      <c r="G279" t="s">
        <v>23</v>
      </c>
      <c r="H279" t="s">
        <v>54</v>
      </c>
      <c r="P279">
        <f>COUNTIFS(keyword_comparison[record_identifier],keyword_comparison[[#This Row],[record_identifier]],keyword_comparison[Review],"&lt;&gt;")</f>
        <v>0</v>
      </c>
      <c r="Q279" cm="1">
        <f t="array" ref="Q279">SUMPRODUCT((keyword_comparison[record_identifier]=keyword_comparison[[#This Row],[record_identifier]])*(LEN(keyword_comparison[keyword_matcher_output])&gt;0))</f>
        <v>2</v>
      </c>
    </row>
    <row r="280" spans="1:17" x14ac:dyDescent="0.25">
      <c r="A280" t="s">
        <v>326</v>
      </c>
      <c r="B280" t="s">
        <v>327</v>
      </c>
      <c r="C280" t="s">
        <v>328</v>
      </c>
      <c r="D280" t="s">
        <v>20</v>
      </c>
      <c r="E280" t="s">
        <v>21</v>
      </c>
      <c r="F280" t="s">
        <v>333</v>
      </c>
      <c r="G280" t="s">
        <v>23</v>
      </c>
      <c r="H280" t="s">
        <v>54</v>
      </c>
      <c r="P280">
        <f>COUNTIFS(keyword_comparison[record_identifier],keyword_comparison[[#This Row],[record_identifier]],keyword_comparison[Review],"&lt;&gt;")</f>
        <v>0</v>
      </c>
      <c r="Q280" cm="1">
        <f t="array" ref="Q280">SUMPRODUCT((keyword_comparison[record_identifier]=keyword_comparison[[#This Row],[record_identifier]])*(LEN(keyword_comparison[keyword_matcher_output])&gt;0))</f>
        <v>2</v>
      </c>
    </row>
    <row r="281" spans="1:17" x14ac:dyDescent="0.25">
      <c r="A281" t="s">
        <v>326</v>
      </c>
      <c r="B281" t="s">
        <v>327</v>
      </c>
      <c r="C281" t="s">
        <v>328</v>
      </c>
      <c r="D281" t="s">
        <v>20</v>
      </c>
      <c r="E281" t="s">
        <v>21</v>
      </c>
      <c r="F281" t="s">
        <v>334</v>
      </c>
      <c r="G281" t="s">
        <v>23</v>
      </c>
      <c r="H281" t="s">
        <v>54</v>
      </c>
      <c r="P281">
        <f>COUNTIFS(keyword_comparison[record_identifier],keyword_comparison[[#This Row],[record_identifier]],keyword_comparison[Review],"&lt;&gt;")</f>
        <v>0</v>
      </c>
      <c r="Q281" cm="1">
        <f t="array" ref="Q281">SUMPRODUCT((keyword_comparison[record_identifier]=keyword_comparison[[#This Row],[record_identifier]])*(LEN(keyword_comparison[keyword_matcher_output])&gt;0))</f>
        <v>2</v>
      </c>
    </row>
    <row r="282" spans="1:17" x14ac:dyDescent="0.25">
      <c r="A282" t="s">
        <v>326</v>
      </c>
      <c r="B282" t="s">
        <v>327</v>
      </c>
      <c r="C282" t="s">
        <v>328</v>
      </c>
      <c r="D282" t="s">
        <v>20</v>
      </c>
      <c r="E282" t="s">
        <v>21</v>
      </c>
      <c r="F282" t="s">
        <v>335</v>
      </c>
      <c r="G282" t="s">
        <v>23</v>
      </c>
      <c r="H282" t="s">
        <v>54</v>
      </c>
      <c r="P282">
        <f>COUNTIFS(keyword_comparison[record_identifier],keyword_comparison[[#This Row],[record_identifier]],keyword_comparison[Review],"&lt;&gt;")</f>
        <v>0</v>
      </c>
      <c r="Q282" cm="1">
        <f t="array" ref="Q282">SUMPRODUCT((keyword_comparison[record_identifier]=keyword_comparison[[#This Row],[record_identifier]])*(LEN(keyword_comparison[keyword_matcher_output])&gt;0))</f>
        <v>2</v>
      </c>
    </row>
    <row r="283" spans="1:17" x14ac:dyDescent="0.25">
      <c r="A283" t="s">
        <v>326</v>
      </c>
      <c r="B283" t="s">
        <v>327</v>
      </c>
      <c r="C283" t="s">
        <v>328</v>
      </c>
      <c r="D283" t="s">
        <v>20</v>
      </c>
      <c r="E283" t="s">
        <v>21</v>
      </c>
      <c r="F283" t="s">
        <v>336</v>
      </c>
      <c r="G283" t="s">
        <v>23</v>
      </c>
      <c r="H283" t="s">
        <v>54</v>
      </c>
      <c r="P283">
        <f>COUNTIFS(keyword_comparison[record_identifier],keyword_comparison[[#This Row],[record_identifier]],keyword_comparison[Review],"&lt;&gt;")</f>
        <v>0</v>
      </c>
      <c r="Q283" cm="1">
        <f t="array" ref="Q283">SUMPRODUCT((keyword_comparison[record_identifier]=keyword_comparison[[#This Row],[record_identifier]])*(LEN(keyword_comparison[keyword_matcher_output])&gt;0))</f>
        <v>2</v>
      </c>
    </row>
    <row r="284" spans="1:17" x14ac:dyDescent="0.25">
      <c r="A284" t="s">
        <v>326</v>
      </c>
      <c r="B284" t="s">
        <v>327</v>
      </c>
      <c r="C284" t="s">
        <v>328</v>
      </c>
      <c r="D284" t="s">
        <v>20</v>
      </c>
      <c r="E284" t="s">
        <v>21</v>
      </c>
      <c r="F284" t="s">
        <v>337</v>
      </c>
      <c r="G284" t="s">
        <v>23</v>
      </c>
      <c r="H284" t="s">
        <v>54</v>
      </c>
      <c r="P284">
        <f>COUNTIFS(keyword_comparison[record_identifier],keyword_comparison[[#This Row],[record_identifier]],keyword_comparison[Review],"&lt;&gt;")</f>
        <v>0</v>
      </c>
      <c r="Q284" cm="1">
        <f t="array" ref="Q284">SUMPRODUCT((keyword_comparison[record_identifier]=keyword_comparison[[#This Row],[record_identifier]])*(LEN(keyword_comparison[keyword_matcher_output])&gt;0))</f>
        <v>2</v>
      </c>
    </row>
    <row r="285" spans="1:17" x14ac:dyDescent="0.25">
      <c r="A285" t="s">
        <v>326</v>
      </c>
      <c r="B285" t="s">
        <v>327</v>
      </c>
      <c r="C285" t="s">
        <v>328</v>
      </c>
      <c r="D285" t="s">
        <v>20</v>
      </c>
      <c r="E285" t="s">
        <v>21</v>
      </c>
      <c r="F285" t="s">
        <v>338</v>
      </c>
      <c r="G285" t="s">
        <v>23</v>
      </c>
      <c r="H285" t="s">
        <v>54</v>
      </c>
      <c r="P285">
        <f>COUNTIFS(keyword_comparison[record_identifier],keyword_comparison[[#This Row],[record_identifier]],keyword_comparison[Review],"&lt;&gt;")</f>
        <v>0</v>
      </c>
      <c r="Q285" cm="1">
        <f t="array" ref="Q285">SUMPRODUCT((keyword_comparison[record_identifier]=keyword_comparison[[#This Row],[record_identifier]])*(LEN(keyword_comparison[keyword_matcher_output])&gt;0))</f>
        <v>2</v>
      </c>
    </row>
    <row r="286" spans="1:17" x14ac:dyDescent="0.25">
      <c r="A286" t="s">
        <v>326</v>
      </c>
      <c r="B286" t="s">
        <v>327</v>
      </c>
      <c r="C286" t="s">
        <v>328</v>
      </c>
      <c r="D286" t="s">
        <v>20</v>
      </c>
      <c r="E286" t="s">
        <v>21</v>
      </c>
      <c r="F286" t="s">
        <v>339</v>
      </c>
      <c r="G286" t="s">
        <v>23</v>
      </c>
      <c r="H286" t="s">
        <v>54</v>
      </c>
      <c r="P286">
        <f>COUNTIFS(keyword_comparison[record_identifier],keyword_comparison[[#This Row],[record_identifier]],keyword_comparison[Review],"&lt;&gt;")</f>
        <v>0</v>
      </c>
      <c r="Q286" cm="1">
        <f t="array" ref="Q286">SUMPRODUCT((keyword_comparison[record_identifier]=keyword_comparison[[#This Row],[record_identifier]])*(LEN(keyword_comparison[keyword_matcher_output])&gt;0))</f>
        <v>2</v>
      </c>
    </row>
    <row r="287" spans="1:17" x14ac:dyDescent="0.25">
      <c r="A287" t="s">
        <v>326</v>
      </c>
      <c r="B287" t="s">
        <v>327</v>
      </c>
      <c r="C287" t="s">
        <v>328</v>
      </c>
      <c r="D287" t="s">
        <v>20</v>
      </c>
      <c r="E287" t="s">
        <v>21</v>
      </c>
      <c r="F287" t="s">
        <v>340</v>
      </c>
      <c r="G287" t="s">
        <v>23</v>
      </c>
      <c r="H287" t="s">
        <v>54</v>
      </c>
      <c r="P287">
        <f>COUNTIFS(keyword_comparison[record_identifier],keyword_comparison[[#This Row],[record_identifier]],keyword_comparison[Review],"&lt;&gt;")</f>
        <v>0</v>
      </c>
      <c r="Q287" cm="1">
        <f t="array" ref="Q287">SUMPRODUCT((keyword_comparison[record_identifier]=keyword_comparison[[#This Row],[record_identifier]])*(LEN(keyword_comparison[keyword_matcher_output])&gt;0))</f>
        <v>2</v>
      </c>
    </row>
    <row r="288" spans="1:17" x14ac:dyDescent="0.25">
      <c r="A288" t="s">
        <v>326</v>
      </c>
      <c r="B288" t="s">
        <v>327</v>
      </c>
      <c r="C288" t="s">
        <v>328</v>
      </c>
      <c r="D288" t="s">
        <v>20</v>
      </c>
      <c r="E288" t="s">
        <v>21</v>
      </c>
      <c r="F288" t="s">
        <v>341</v>
      </c>
      <c r="G288" t="s">
        <v>23</v>
      </c>
      <c r="H288" t="s">
        <v>342</v>
      </c>
      <c r="P288">
        <f>COUNTIFS(keyword_comparison[record_identifier],keyword_comparison[[#This Row],[record_identifier]],keyword_comparison[Review],"&lt;&gt;")</f>
        <v>0</v>
      </c>
      <c r="Q288" cm="1">
        <f t="array" ref="Q288">SUMPRODUCT((keyword_comparison[record_identifier]=keyword_comparison[[#This Row],[record_identifier]])*(LEN(keyword_comparison[keyword_matcher_output])&gt;0))</f>
        <v>2</v>
      </c>
    </row>
    <row r="289" spans="1:17" x14ac:dyDescent="0.25">
      <c r="A289" t="s">
        <v>326</v>
      </c>
      <c r="B289" t="s">
        <v>327</v>
      </c>
      <c r="C289" t="s">
        <v>328</v>
      </c>
      <c r="D289" t="s">
        <v>20</v>
      </c>
      <c r="E289" t="s">
        <v>21</v>
      </c>
      <c r="F289" t="s">
        <v>343</v>
      </c>
      <c r="G289" t="s">
        <v>23</v>
      </c>
      <c r="H289" t="s">
        <v>54</v>
      </c>
      <c r="P289">
        <f>COUNTIFS(keyword_comparison[record_identifier],keyword_comparison[[#This Row],[record_identifier]],keyword_comparison[Review],"&lt;&gt;")</f>
        <v>0</v>
      </c>
      <c r="Q289" cm="1">
        <f t="array" ref="Q289">SUMPRODUCT((keyword_comparison[record_identifier]=keyword_comparison[[#This Row],[record_identifier]])*(LEN(keyword_comparison[keyword_matcher_output])&gt;0))</f>
        <v>2</v>
      </c>
    </row>
    <row r="290" spans="1:17" x14ac:dyDescent="0.25">
      <c r="A290" t="s">
        <v>326</v>
      </c>
      <c r="B290" t="s">
        <v>327</v>
      </c>
      <c r="C290" t="s">
        <v>328</v>
      </c>
      <c r="D290" t="s">
        <v>20</v>
      </c>
      <c r="E290" t="s">
        <v>21</v>
      </c>
      <c r="F290" t="s">
        <v>344</v>
      </c>
      <c r="G290" t="s">
        <v>23</v>
      </c>
      <c r="H290" t="s">
        <v>54</v>
      </c>
      <c r="P290">
        <f>COUNTIFS(keyword_comparison[record_identifier],keyword_comparison[[#This Row],[record_identifier]],keyword_comparison[Review],"&lt;&gt;")</f>
        <v>0</v>
      </c>
      <c r="Q290" cm="1">
        <f t="array" ref="Q290">SUMPRODUCT((keyword_comparison[record_identifier]=keyword_comparison[[#This Row],[record_identifier]])*(LEN(keyword_comparison[keyword_matcher_output])&gt;0))</f>
        <v>2</v>
      </c>
    </row>
    <row r="291" spans="1:17" x14ac:dyDescent="0.25">
      <c r="A291" t="s">
        <v>326</v>
      </c>
      <c r="B291" t="s">
        <v>327</v>
      </c>
      <c r="C291" t="s">
        <v>328</v>
      </c>
      <c r="D291" t="s">
        <v>20</v>
      </c>
      <c r="E291" t="s">
        <v>21</v>
      </c>
      <c r="F291" t="s">
        <v>345</v>
      </c>
      <c r="G291" t="s">
        <v>23</v>
      </c>
      <c r="H291" t="s">
        <v>54</v>
      </c>
      <c r="P291">
        <f>COUNTIFS(keyword_comparison[record_identifier],keyword_comparison[[#This Row],[record_identifier]],keyword_comparison[Review],"&lt;&gt;")</f>
        <v>0</v>
      </c>
      <c r="Q291" cm="1">
        <f t="array" ref="Q291">SUMPRODUCT((keyword_comparison[record_identifier]=keyword_comparison[[#This Row],[record_identifier]])*(LEN(keyword_comparison[keyword_matcher_output])&gt;0))</f>
        <v>2</v>
      </c>
    </row>
    <row r="292" spans="1:17" x14ac:dyDescent="0.25">
      <c r="A292" t="s">
        <v>326</v>
      </c>
      <c r="B292" t="s">
        <v>327</v>
      </c>
      <c r="C292" t="s">
        <v>328</v>
      </c>
      <c r="D292" t="s">
        <v>20</v>
      </c>
      <c r="E292" t="s">
        <v>21</v>
      </c>
      <c r="F292" t="s">
        <v>346</v>
      </c>
      <c r="G292" t="s">
        <v>23</v>
      </c>
      <c r="H292" t="s">
        <v>54</v>
      </c>
      <c r="P292">
        <f>COUNTIFS(keyword_comparison[record_identifier],keyword_comparison[[#This Row],[record_identifier]],keyword_comparison[Review],"&lt;&gt;")</f>
        <v>0</v>
      </c>
      <c r="Q292" cm="1">
        <f t="array" ref="Q292">SUMPRODUCT((keyword_comparison[record_identifier]=keyword_comparison[[#This Row],[record_identifier]])*(LEN(keyword_comparison[keyword_matcher_output])&gt;0))</f>
        <v>2</v>
      </c>
    </row>
    <row r="293" spans="1:17" x14ac:dyDescent="0.25">
      <c r="A293" t="s">
        <v>326</v>
      </c>
      <c r="B293" t="s">
        <v>327</v>
      </c>
      <c r="C293" t="s">
        <v>328</v>
      </c>
      <c r="D293" t="s">
        <v>20</v>
      </c>
      <c r="E293" t="s">
        <v>21</v>
      </c>
      <c r="F293" t="s">
        <v>347</v>
      </c>
      <c r="G293" t="s">
        <v>23</v>
      </c>
      <c r="H293" t="s">
        <v>54</v>
      </c>
      <c r="P293">
        <f>COUNTIFS(keyword_comparison[record_identifier],keyword_comparison[[#This Row],[record_identifier]],keyword_comparison[Review],"&lt;&gt;")</f>
        <v>0</v>
      </c>
      <c r="Q293" cm="1">
        <f t="array" ref="Q293">SUMPRODUCT((keyword_comparison[record_identifier]=keyword_comparison[[#This Row],[record_identifier]])*(LEN(keyword_comparison[keyword_matcher_output])&gt;0))</f>
        <v>2</v>
      </c>
    </row>
    <row r="294" spans="1:17" x14ac:dyDescent="0.25">
      <c r="A294" t="s">
        <v>326</v>
      </c>
      <c r="B294" t="s">
        <v>327</v>
      </c>
      <c r="C294" t="s">
        <v>328</v>
      </c>
      <c r="D294" t="s">
        <v>20</v>
      </c>
      <c r="E294" t="s">
        <v>21</v>
      </c>
      <c r="F294" t="s">
        <v>348</v>
      </c>
      <c r="G294" t="s">
        <v>23</v>
      </c>
      <c r="H294" t="s">
        <v>54</v>
      </c>
      <c r="P294">
        <f>COUNTIFS(keyword_comparison[record_identifier],keyword_comparison[[#This Row],[record_identifier]],keyword_comparison[Review],"&lt;&gt;")</f>
        <v>0</v>
      </c>
      <c r="Q294" cm="1">
        <f t="array" ref="Q294">SUMPRODUCT((keyword_comparison[record_identifier]=keyword_comparison[[#This Row],[record_identifier]])*(LEN(keyword_comparison[keyword_matcher_output])&gt;0))</f>
        <v>2</v>
      </c>
    </row>
    <row r="295" spans="1:17" x14ac:dyDescent="0.25">
      <c r="A295" t="s">
        <v>326</v>
      </c>
      <c r="B295" t="s">
        <v>327</v>
      </c>
      <c r="C295" t="s">
        <v>328</v>
      </c>
      <c r="D295" t="s">
        <v>20</v>
      </c>
      <c r="E295" t="s">
        <v>21</v>
      </c>
      <c r="F295" t="s">
        <v>349</v>
      </c>
      <c r="G295" t="s">
        <v>23</v>
      </c>
      <c r="H295" t="s">
        <v>54</v>
      </c>
      <c r="P295">
        <f>COUNTIFS(keyword_comparison[record_identifier],keyword_comparison[[#This Row],[record_identifier]],keyword_comparison[Review],"&lt;&gt;")</f>
        <v>0</v>
      </c>
      <c r="Q295" cm="1">
        <f t="array" ref="Q295">SUMPRODUCT((keyword_comparison[record_identifier]=keyword_comparison[[#This Row],[record_identifier]])*(LEN(keyword_comparison[keyword_matcher_output])&gt;0))</f>
        <v>2</v>
      </c>
    </row>
    <row r="296" spans="1:17" x14ac:dyDescent="0.25">
      <c r="A296" t="s">
        <v>326</v>
      </c>
      <c r="B296" t="s">
        <v>327</v>
      </c>
      <c r="C296" t="s">
        <v>328</v>
      </c>
      <c r="D296" t="s">
        <v>20</v>
      </c>
      <c r="E296" t="s">
        <v>21</v>
      </c>
      <c r="F296" t="s">
        <v>350</v>
      </c>
      <c r="G296" t="s">
        <v>23</v>
      </c>
      <c r="H296" t="s">
        <v>54</v>
      </c>
      <c r="P296">
        <f>COUNTIFS(keyword_comparison[record_identifier],keyword_comparison[[#This Row],[record_identifier]],keyword_comparison[Review],"&lt;&gt;")</f>
        <v>0</v>
      </c>
      <c r="Q296" cm="1">
        <f t="array" ref="Q296">SUMPRODUCT((keyword_comparison[record_identifier]=keyword_comparison[[#This Row],[record_identifier]])*(LEN(keyword_comparison[keyword_matcher_output])&gt;0))</f>
        <v>2</v>
      </c>
    </row>
    <row r="297" spans="1:17" x14ac:dyDescent="0.25">
      <c r="A297" t="s">
        <v>326</v>
      </c>
      <c r="B297" t="s">
        <v>327</v>
      </c>
      <c r="C297" t="s">
        <v>328</v>
      </c>
      <c r="D297" t="s">
        <v>20</v>
      </c>
      <c r="E297" t="s">
        <v>21</v>
      </c>
      <c r="F297" t="s">
        <v>351</v>
      </c>
      <c r="G297" t="s">
        <v>23</v>
      </c>
      <c r="H297" t="s">
        <v>54</v>
      </c>
      <c r="P297">
        <f>COUNTIFS(keyword_comparison[record_identifier],keyword_comparison[[#This Row],[record_identifier]],keyword_comparison[Review],"&lt;&gt;")</f>
        <v>0</v>
      </c>
      <c r="Q297" cm="1">
        <f t="array" ref="Q297">SUMPRODUCT((keyword_comparison[record_identifier]=keyword_comparison[[#This Row],[record_identifier]])*(LEN(keyword_comparison[keyword_matcher_output])&gt;0))</f>
        <v>2</v>
      </c>
    </row>
    <row r="298" spans="1:17" x14ac:dyDescent="0.25">
      <c r="A298" t="s">
        <v>326</v>
      </c>
      <c r="B298" t="s">
        <v>327</v>
      </c>
      <c r="C298" t="s">
        <v>328</v>
      </c>
      <c r="D298" t="s">
        <v>20</v>
      </c>
      <c r="E298" t="s">
        <v>21</v>
      </c>
      <c r="F298" t="s">
        <v>352</v>
      </c>
      <c r="G298" t="s">
        <v>23</v>
      </c>
      <c r="H298" t="s">
        <v>54</v>
      </c>
      <c r="P298">
        <f>COUNTIFS(keyword_comparison[record_identifier],keyword_comparison[[#This Row],[record_identifier]],keyword_comparison[Review],"&lt;&gt;")</f>
        <v>0</v>
      </c>
      <c r="Q298" cm="1">
        <f t="array" ref="Q298">SUMPRODUCT((keyword_comparison[record_identifier]=keyword_comparison[[#This Row],[record_identifier]])*(LEN(keyword_comparison[keyword_matcher_output])&gt;0))</f>
        <v>2</v>
      </c>
    </row>
    <row r="299" spans="1:17" x14ac:dyDescent="0.25">
      <c r="A299" t="s">
        <v>326</v>
      </c>
      <c r="B299" t="s">
        <v>327</v>
      </c>
      <c r="C299" t="s">
        <v>328</v>
      </c>
      <c r="D299" t="s">
        <v>20</v>
      </c>
      <c r="E299" t="s">
        <v>21</v>
      </c>
      <c r="F299" t="s">
        <v>353</v>
      </c>
      <c r="G299" t="s">
        <v>23</v>
      </c>
      <c r="H299" t="s">
        <v>54</v>
      </c>
      <c r="P299">
        <f>COUNTIFS(keyword_comparison[record_identifier],keyword_comparison[[#This Row],[record_identifier]],keyword_comparison[Review],"&lt;&gt;")</f>
        <v>0</v>
      </c>
      <c r="Q299" cm="1">
        <f t="array" ref="Q299">SUMPRODUCT((keyword_comparison[record_identifier]=keyword_comparison[[#This Row],[record_identifier]])*(LEN(keyword_comparison[keyword_matcher_output])&gt;0))</f>
        <v>2</v>
      </c>
    </row>
    <row r="300" spans="1:17" x14ac:dyDescent="0.25">
      <c r="A300" t="s">
        <v>326</v>
      </c>
      <c r="B300" t="s">
        <v>327</v>
      </c>
      <c r="C300" t="s">
        <v>328</v>
      </c>
      <c r="D300" t="s">
        <v>20</v>
      </c>
      <c r="E300" t="s">
        <v>21</v>
      </c>
      <c r="F300" t="s">
        <v>354</v>
      </c>
      <c r="G300" t="s">
        <v>23</v>
      </c>
      <c r="H300" t="s">
        <v>54</v>
      </c>
      <c r="P300">
        <f>COUNTIFS(keyword_comparison[record_identifier],keyword_comparison[[#This Row],[record_identifier]],keyword_comparison[Review],"&lt;&gt;")</f>
        <v>0</v>
      </c>
      <c r="Q300" cm="1">
        <f t="array" ref="Q300">SUMPRODUCT((keyword_comparison[record_identifier]=keyword_comparison[[#This Row],[record_identifier]])*(LEN(keyword_comparison[keyword_matcher_output])&gt;0))</f>
        <v>2</v>
      </c>
    </row>
    <row r="301" spans="1:17" x14ac:dyDescent="0.25">
      <c r="A301" t="s">
        <v>326</v>
      </c>
      <c r="B301" t="s">
        <v>327</v>
      </c>
      <c r="C301" t="s">
        <v>328</v>
      </c>
      <c r="D301" t="s">
        <v>20</v>
      </c>
      <c r="E301" t="s">
        <v>21</v>
      </c>
      <c r="F301" t="s">
        <v>355</v>
      </c>
      <c r="G301" t="s">
        <v>23</v>
      </c>
      <c r="H301" t="s">
        <v>54</v>
      </c>
      <c r="P301">
        <f>COUNTIFS(keyword_comparison[record_identifier],keyword_comparison[[#This Row],[record_identifier]],keyword_comparison[Review],"&lt;&gt;")</f>
        <v>0</v>
      </c>
      <c r="Q301" cm="1">
        <f t="array" ref="Q301">SUMPRODUCT((keyword_comparison[record_identifier]=keyword_comparison[[#This Row],[record_identifier]])*(LEN(keyword_comparison[keyword_matcher_output])&gt;0))</f>
        <v>2</v>
      </c>
    </row>
    <row r="302" spans="1:17" x14ac:dyDescent="0.25">
      <c r="A302" t="s">
        <v>326</v>
      </c>
      <c r="B302" t="s">
        <v>327</v>
      </c>
      <c r="C302" t="s">
        <v>328</v>
      </c>
      <c r="D302" t="s">
        <v>20</v>
      </c>
      <c r="E302" t="s">
        <v>21</v>
      </c>
      <c r="F302" t="s">
        <v>356</v>
      </c>
      <c r="G302" t="s">
        <v>23</v>
      </c>
      <c r="H302" t="s">
        <v>54</v>
      </c>
      <c r="P302">
        <f>COUNTIFS(keyword_comparison[record_identifier],keyword_comparison[[#This Row],[record_identifier]],keyword_comparison[Review],"&lt;&gt;")</f>
        <v>0</v>
      </c>
      <c r="Q302" cm="1">
        <f t="array" ref="Q302">SUMPRODUCT((keyword_comparison[record_identifier]=keyword_comparison[[#This Row],[record_identifier]])*(LEN(keyword_comparison[keyword_matcher_output])&gt;0))</f>
        <v>2</v>
      </c>
    </row>
    <row r="303" spans="1:17" x14ac:dyDescent="0.25">
      <c r="A303" t="s">
        <v>326</v>
      </c>
      <c r="B303" t="s">
        <v>327</v>
      </c>
      <c r="C303" t="s">
        <v>328</v>
      </c>
      <c r="D303" t="s">
        <v>20</v>
      </c>
      <c r="E303" t="s">
        <v>21</v>
      </c>
      <c r="F303" t="s">
        <v>357</v>
      </c>
      <c r="G303" t="s">
        <v>23</v>
      </c>
      <c r="H303" t="s">
        <v>54</v>
      </c>
      <c r="P303">
        <f>COUNTIFS(keyword_comparison[record_identifier],keyword_comparison[[#This Row],[record_identifier]],keyword_comparison[Review],"&lt;&gt;")</f>
        <v>0</v>
      </c>
      <c r="Q303" cm="1">
        <f t="array" ref="Q303">SUMPRODUCT((keyword_comparison[record_identifier]=keyword_comparison[[#This Row],[record_identifier]])*(LEN(keyword_comparison[keyword_matcher_output])&gt;0))</f>
        <v>2</v>
      </c>
    </row>
    <row r="304" spans="1:17" x14ac:dyDescent="0.25">
      <c r="A304" t="s">
        <v>326</v>
      </c>
      <c r="B304" t="s">
        <v>327</v>
      </c>
      <c r="C304" t="s">
        <v>328</v>
      </c>
      <c r="D304" t="s">
        <v>20</v>
      </c>
      <c r="E304" t="s">
        <v>21</v>
      </c>
      <c r="F304" t="s">
        <v>358</v>
      </c>
      <c r="G304" t="s">
        <v>23</v>
      </c>
      <c r="H304" t="s">
        <v>54</v>
      </c>
      <c r="P304">
        <f>COUNTIFS(keyword_comparison[record_identifier],keyword_comparison[[#This Row],[record_identifier]],keyword_comparison[Review],"&lt;&gt;")</f>
        <v>0</v>
      </c>
      <c r="Q304" cm="1">
        <f t="array" ref="Q304">SUMPRODUCT((keyword_comparison[record_identifier]=keyword_comparison[[#This Row],[record_identifier]])*(LEN(keyword_comparison[keyword_matcher_output])&gt;0))</f>
        <v>2</v>
      </c>
    </row>
    <row r="305" spans="1:17" x14ac:dyDescent="0.25">
      <c r="A305" t="s">
        <v>326</v>
      </c>
      <c r="B305" t="s">
        <v>327</v>
      </c>
      <c r="C305" t="s">
        <v>328</v>
      </c>
      <c r="D305" t="s">
        <v>20</v>
      </c>
      <c r="E305" t="s">
        <v>21</v>
      </c>
      <c r="F305" t="s">
        <v>359</v>
      </c>
      <c r="G305" t="s">
        <v>23</v>
      </c>
      <c r="H305" t="s">
        <v>54</v>
      </c>
      <c r="P305">
        <f>COUNTIFS(keyword_comparison[record_identifier],keyword_comparison[[#This Row],[record_identifier]],keyword_comparison[Review],"&lt;&gt;")</f>
        <v>0</v>
      </c>
      <c r="Q305" cm="1">
        <f t="array" ref="Q305">SUMPRODUCT((keyword_comparison[record_identifier]=keyword_comparison[[#This Row],[record_identifier]])*(LEN(keyword_comparison[keyword_matcher_output])&gt;0))</f>
        <v>2</v>
      </c>
    </row>
    <row r="306" spans="1:17" x14ac:dyDescent="0.25">
      <c r="A306" t="s">
        <v>326</v>
      </c>
      <c r="B306" t="s">
        <v>327</v>
      </c>
      <c r="C306" t="s">
        <v>328</v>
      </c>
      <c r="D306" t="s">
        <v>20</v>
      </c>
      <c r="E306" t="s">
        <v>21</v>
      </c>
      <c r="F306" t="s">
        <v>360</v>
      </c>
      <c r="G306" t="s">
        <v>23</v>
      </c>
      <c r="H306" t="s">
        <v>54</v>
      </c>
      <c r="P306">
        <f>COUNTIFS(keyword_comparison[record_identifier],keyword_comparison[[#This Row],[record_identifier]],keyword_comparison[Review],"&lt;&gt;")</f>
        <v>0</v>
      </c>
      <c r="Q306" cm="1">
        <f t="array" ref="Q306">SUMPRODUCT((keyword_comparison[record_identifier]=keyword_comparison[[#This Row],[record_identifier]])*(LEN(keyword_comparison[keyword_matcher_output])&gt;0))</f>
        <v>2</v>
      </c>
    </row>
    <row r="307" spans="1:17" x14ac:dyDescent="0.25">
      <c r="A307" t="s">
        <v>326</v>
      </c>
      <c r="B307" t="s">
        <v>327</v>
      </c>
      <c r="C307" t="s">
        <v>328</v>
      </c>
      <c r="D307" t="s">
        <v>20</v>
      </c>
      <c r="E307" t="s">
        <v>21</v>
      </c>
      <c r="F307" t="s">
        <v>361</v>
      </c>
      <c r="G307" t="s">
        <v>23</v>
      </c>
      <c r="H307" t="s">
        <v>54</v>
      </c>
      <c r="P307">
        <f>COUNTIFS(keyword_comparison[record_identifier],keyword_comparison[[#This Row],[record_identifier]],keyword_comparison[Review],"&lt;&gt;")</f>
        <v>0</v>
      </c>
      <c r="Q307" cm="1">
        <f t="array" ref="Q307">SUMPRODUCT((keyword_comparison[record_identifier]=keyword_comparison[[#This Row],[record_identifier]])*(LEN(keyword_comparison[keyword_matcher_output])&gt;0))</f>
        <v>2</v>
      </c>
    </row>
    <row r="308" spans="1:17" x14ac:dyDescent="0.25">
      <c r="A308" t="s">
        <v>326</v>
      </c>
      <c r="B308" t="s">
        <v>327</v>
      </c>
      <c r="C308" t="s">
        <v>328</v>
      </c>
      <c r="D308" t="s">
        <v>20</v>
      </c>
      <c r="E308" t="s">
        <v>21</v>
      </c>
      <c r="F308" t="s">
        <v>362</v>
      </c>
      <c r="G308" t="s">
        <v>23</v>
      </c>
      <c r="H308" t="s">
        <v>54</v>
      </c>
      <c r="P308">
        <f>COUNTIFS(keyword_comparison[record_identifier],keyword_comparison[[#This Row],[record_identifier]],keyword_comparison[Review],"&lt;&gt;")</f>
        <v>0</v>
      </c>
      <c r="Q308" cm="1">
        <f t="array" ref="Q308">SUMPRODUCT((keyword_comparison[record_identifier]=keyword_comparison[[#This Row],[record_identifier]])*(LEN(keyword_comparison[keyword_matcher_output])&gt;0))</f>
        <v>2</v>
      </c>
    </row>
    <row r="309" spans="1:17" x14ac:dyDescent="0.25">
      <c r="A309" t="s">
        <v>326</v>
      </c>
      <c r="B309" t="s">
        <v>327</v>
      </c>
      <c r="C309" t="s">
        <v>328</v>
      </c>
      <c r="D309" t="s">
        <v>20</v>
      </c>
      <c r="E309" t="s">
        <v>21</v>
      </c>
      <c r="F309" t="s">
        <v>363</v>
      </c>
      <c r="G309" t="s">
        <v>23</v>
      </c>
      <c r="H309" t="s">
        <v>54</v>
      </c>
      <c r="P309">
        <f>COUNTIFS(keyword_comparison[record_identifier],keyword_comparison[[#This Row],[record_identifier]],keyword_comparison[Review],"&lt;&gt;")</f>
        <v>0</v>
      </c>
      <c r="Q309" cm="1">
        <f t="array" ref="Q309">SUMPRODUCT((keyword_comparison[record_identifier]=keyword_comparison[[#This Row],[record_identifier]])*(LEN(keyword_comparison[keyword_matcher_output])&gt;0))</f>
        <v>2</v>
      </c>
    </row>
    <row r="310" spans="1:17" x14ac:dyDescent="0.25">
      <c r="A310" t="s">
        <v>326</v>
      </c>
      <c r="B310" t="s">
        <v>327</v>
      </c>
      <c r="C310" t="s">
        <v>328</v>
      </c>
      <c r="D310" t="s">
        <v>20</v>
      </c>
      <c r="E310" t="s">
        <v>21</v>
      </c>
      <c r="F310" t="s">
        <v>364</v>
      </c>
      <c r="G310" t="s">
        <v>23</v>
      </c>
      <c r="H310" t="s">
        <v>54</v>
      </c>
      <c r="P310">
        <f>COUNTIFS(keyword_comparison[record_identifier],keyword_comparison[[#This Row],[record_identifier]],keyword_comparison[Review],"&lt;&gt;")</f>
        <v>0</v>
      </c>
      <c r="Q310" cm="1">
        <f t="array" ref="Q310">SUMPRODUCT((keyword_comparison[record_identifier]=keyword_comparison[[#This Row],[record_identifier]])*(LEN(keyword_comparison[keyword_matcher_output])&gt;0))</f>
        <v>2</v>
      </c>
    </row>
    <row r="311" spans="1:17" x14ac:dyDescent="0.25">
      <c r="A311" t="s">
        <v>326</v>
      </c>
      <c r="B311" t="s">
        <v>327</v>
      </c>
      <c r="C311" t="s">
        <v>328</v>
      </c>
      <c r="D311" t="s">
        <v>20</v>
      </c>
      <c r="E311" t="s">
        <v>21</v>
      </c>
      <c r="F311" t="s">
        <v>365</v>
      </c>
      <c r="G311" t="s">
        <v>23</v>
      </c>
      <c r="H311" t="s">
        <v>54</v>
      </c>
      <c r="P311">
        <f>COUNTIFS(keyword_comparison[record_identifier],keyword_comparison[[#This Row],[record_identifier]],keyword_comparison[Review],"&lt;&gt;")</f>
        <v>0</v>
      </c>
      <c r="Q311" cm="1">
        <f t="array" ref="Q311">SUMPRODUCT((keyword_comparison[record_identifier]=keyword_comparison[[#This Row],[record_identifier]])*(LEN(keyword_comparison[keyword_matcher_output])&gt;0))</f>
        <v>2</v>
      </c>
    </row>
    <row r="312" spans="1:17" x14ac:dyDescent="0.25">
      <c r="A312" t="s">
        <v>326</v>
      </c>
      <c r="B312" t="s">
        <v>327</v>
      </c>
      <c r="C312" t="s">
        <v>328</v>
      </c>
      <c r="D312" t="s">
        <v>20</v>
      </c>
      <c r="E312" t="s">
        <v>21</v>
      </c>
      <c r="F312" t="s">
        <v>366</v>
      </c>
      <c r="G312" t="s">
        <v>23</v>
      </c>
      <c r="H312" t="s">
        <v>54</v>
      </c>
      <c r="P312">
        <f>COUNTIFS(keyword_comparison[record_identifier],keyword_comparison[[#This Row],[record_identifier]],keyword_comparison[Review],"&lt;&gt;")</f>
        <v>0</v>
      </c>
      <c r="Q312" cm="1">
        <f t="array" ref="Q312">SUMPRODUCT((keyword_comparison[record_identifier]=keyword_comparison[[#This Row],[record_identifier]])*(LEN(keyword_comparison[keyword_matcher_output])&gt;0))</f>
        <v>2</v>
      </c>
    </row>
    <row r="313" spans="1:17" x14ac:dyDescent="0.25">
      <c r="A313" t="s">
        <v>326</v>
      </c>
      <c r="B313" t="s">
        <v>327</v>
      </c>
      <c r="C313" t="s">
        <v>328</v>
      </c>
      <c r="D313" t="s">
        <v>20</v>
      </c>
      <c r="E313" t="s">
        <v>21</v>
      </c>
      <c r="F313" t="s">
        <v>367</v>
      </c>
      <c r="G313" t="s">
        <v>23</v>
      </c>
      <c r="H313" t="s">
        <v>54</v>
      </c>
      <c r="P313">
        <f>COUNTIFS(keyword_comparison[record_identifier],keyword_comparison[[#This Row],[record_identifier]],keyword_comparison[Review],"&lt;&gt;")</f>
        <v>0</v>
      </c>
      <c r="Q313" cm="1">
        <f t="array" ref="Q313">SUMPRODUCT((keyword_comparison[record_identifier]=keyword_comparison[[#This Row],[record_identifier]])*(LEN(keyword_comparison[keyword_matcher_output])&gt;0))</f>
        <v>2</v>
      </c>
    </row>
    <row r="314" spans="1:17" x14ac:dyDescent="0.25">
      <c r="A314" t="s">
        <v>326</v>
      </c>
      <c r="B314" t="s">
        <v>327</v>
      </c>
      <c r="C314" t="s">
        <v>328</v>
      </c>
      <c r="D314" t="s">
        <v>20</v>
      </c>
      <c r="E314" t="s">
        <v>21</v>
      </c>
      <c r="F314" t="s">
        <v>368</v>
      </c>
      <c r="G314" t="s">
        <v>23</v>
      </c>
      <c r="H314" t="s">
        <v>54</v>
      </c>
      <c r="P314">
        <f>COUNTIFS(keyword_comparison[record_identifier],keyword_comparison[[#This Row],[record_identifier]],keyword_comparison[Review],"&lt;&gt;")</f>
        <v>0</v>
      </c>
      <c r="Q314" cm="1">
        <f t="array" ref="Q314">SUMPRODUCT((keyword_comparison[record_identifier]=keyword_comparison[[#This Row],[record_identifier]])*(LEN(keyword_comparison[keyword_matcher_output])&gt;0))</f>
        <v>2</v>
      </c>
    </row>
    <row r="315" spans="1:17" x14ac:dyDescent="0.25">
      <c r="A315" t="s">
        <v>326</v>
      </c>
      <c r="B315" t="s">
        <v>327</v>
      </c>
      <c r="C315" t="s">
        <v>328</v>
      </c>
      <c r="D315" t="s">
        <v>20</v>
      </c>
      <c r="E315" t="s">
        <v>21</v>
      </c>
      <c r="F315" t="s">
        <v>369</v>
      </c>
      <c r="G315" t="s">
        <v>23</v>
      </c>
      <c r="H315" t="s">
        <v>54</v>
      </c>
      <c r="P315">
        <f>COUNTIFS(keyword_comparison[record_identifier],keyword_comparison[[#This Row],[record_identifier]],keyword_comparison[Review],"&lt;&gt;")</f>
        <v>0</v>
      </c>
      <c r="Q315" cm="1">
        <f t="array" ref="Q315">SUMPRODUCT((keyword_comparison[record_identifier]=keyword_comparison[[#This Row],[record_identifier]])*(LEN(keyword_comparison[keyword_matcher_output])&gt;0))</f>
        <v>2</v>
      </c>
    </row>
    <row r="316" spans="1:17" x14ac:dyDescent="0.25">
      <c r="A316" t="s">
        <v>326</v>
      </c>
      <c r="B316" t="s">
        <v>327</v>
      </c>
      <c r="C316" t="s">
        <v>328</v>
      </c>
      <c r="D316" t="s">
        <v>20</v>
      </c>
      <c r="E316" t="s">
        <v>21</v>
      </c>
      <c r="F316" t="s">
        <v>370</v>
      </c>
      <c r="G316" t="s">
        <v>23</v>
      </c>
      <c r="H316" t="s">
        <v>54</v>
      </c>
      <c r="P316">
        <f>COUNTIFS(keyword_comparison[record_identifier],keyword_comparison[[#This Row],[record_identifier]],keyword_comparison[Review],"&lt;&gt;")</f>
        <v>0</v>
      </c>
      <c r="Q316" cm="1">
        <f t="array" ref="Q316">SUMPRODUCT((keyword_comparison[record_identifier]=keyword_comparison[[#This Row],[record_identifier]])*(LEN(keyword_comparison[keyword_matcher_output])&gt;0))</f>
        <v>2</v>
      </c>
    </row>
    <row r="317" spans="1:17" x14ac:dyDescent="0.25">
      <c r="A317" t="s">
        <v>326</v>
      </c>
      <c r="B317" t="s">
        <v>327</v>
      </c>
      <c r="C317" t="s">
        <v>328</v>
      </c>
      <c r="D317" t="s">
        <v>20</v>
      </c>
      <c r="E317" t="s">
        <v>21</v>
      </c>
      <c r="F317" t="s">
        <v>371</v>
      </c>
      <c r="G317" t="s">
        <v>23</v>
      </c>
      <c r="H317" t="s">
        <v>54</v>
      </c>
      <c r="P317">
        <f>COUNTIFS(keyword_comparison[record_identifier],keyword_comparison[[#This Row],[record_identifier]],keyword_comparison[Review],"&lt;&gt;")</f>
        <v>0</v>
      </c>
      <c r="Q317" cm="1">
        <f t="array" ref="Q317">SUMPRODUCT((keyword_comparison[record_identifier]=keyword_comparison[[#This Row],[record_identifier]])*(LEN(keyword_comparison[keyword_matcher_output])&gt;0))</f>
        <v>2</v>
      </c>
    </row>
    <row r="318" spans="1:17" x14ac:dyDescent="0.25">
      <c r="A318" t="s">
        <v>326</v>
      </c>
      <c r="B318" t="s">
        <v>327</v>
      </c>
      <c r="C318" t="s">
        <v>328</v>
      </c>
      <c r="D318" t="s">
        <v>20</v>
      </c>
      <c r="E318" t="s">
        <v>21</v>
      </c>
      <c r="F318" t="s">
        <v>372</v>
      </c>
      <c r="G318" t="s">
        <v>23</v>
      </c>
      <c r="H318" t="s">
        <v>373</v>
      </c>
      <c r="P318">
        <f>COUNTIFS(keyword_comparison[record_identifier],keyword_comparison[[#This Row],[record_identifier]],keyword_comparison[Review],"&lt;&gt;")</f>
        <v>0</v>
      </c>
      <c r="Q318" cm="1">
        <f t="array" ref="Q318">SUMPRODUCT((keyword_comparison[record_identifier]=keyword_comparison[[#This Row],[record_identifier]])*(LEN(keyword_comparison[keyword_matcher_output])&gt;0))</f>
        <v>2</v>
      </c>
    </row>
    <row r="319" spans="1:17" x14ac:dyDescent="0.25">
      <c r="A319" t="s">
        <v>326</v>
      </c>
      <c r="B319" t="s">
        <v>327</v>
      </c>
      <c r="C319" t="s">
        <v>328</v>
      </c>
      <c r="D319" t="s">
        <v>20</v>
      </c>
      <c r="E319" t="s">
        <v>21</v>
      </c>
      <c r="F319" t="s">
        <v>374</v>
      </c>
      <c r="G319" t="s">
        <v>23</v>
      </c>
      <c r="H319" t="s">
        <v>54</v>
      </c>
      <c r="P319">
        <f>COUNTIFS(keyword_comparison[record_identifier],keyword_comparison[[#This Row],[record_identifier]],keyword_comparison[Review],"&lt;&gt;")</f>
        <v>0</v>
      </c>
      <c r="Q319" cm="1">
        <f t="array" ref="Q319">SUMPRODUCT((keyword_comparison[record_identifier]=keyword_comparison[[#This Row],[record_identifier]])*(LEN(keyword_comparison[keyword_matcher_output])&gt;0))</f>
        <v>2</v>
      </c>
    </row>
    <row r="320" spans="1:17" x14ac:dyDescent="0.25">
      <c r="A320" t="s">
        <v>326</v>
      </c>
      <c r="B320" t="s">
        <v>327</v>
      </c>
      <c r="C320" t="s">
        <v>328</v>
      </c>
      <c r="D320" t="s">
        <v>20</v>
      </c>
      <c r="E320" t="s">
        <v>21</v>
      </c>
      <c r="F320" t="s">
        <v>375</v>
      </c>
      <c r="G320" t="s">
        <v>23</v>
      </c>
      <c r="H320" t="s">
        <v>54</v>
      </c>
      <c r="P320">
        <f>COUNTIFS(keyword_comparison[record_identifier],keyword_comparison[[#This Row],[record_identifier]],keyword_comparison[Review],"&lt;&gt;")</f>
        <v>0</v>
      </c>
      <c r="Q320" cm="1">
        <f t="array" ref="Q320">SUMPRODUCT((keyword_comparison[record_identifier]=keyword_comparison[[#This Row],[record_identifier]])*(LEN(keyword_comparison[keyword_matcher_output])&gt;0))</f>
        <v>2</v>
      </c>
    </row>
    <row r="321" spans="1:17" x14ac:dyDescent="0.25">
      <c r="A321" t="s">
        <v>326</v>
      </c>
      <c r="B321" t="s">
        <v>327</v>
      </c>
      <c r="C321" t="s">
        <v>328</v>
      </c>
      <c r="D321" t="s">
        <v>20</v>
      </c>
      <c r="E321" t="s">
        <v>21</v>
      </c>
      <c r="F321" t="s">
        <v>376</v>
      </c>
      <c r="G321" t="s">
        <v>23</v>
      </c>
      <c r="H321" t="s">
        <v>54</v>
      </c>
      <c r="P321">
        <f>COUNTIFS(keyword_comparison[record_identifier],keyword_comparison[[#This Row],[record_identifier]],keyword_comparison[Review],"&lt;&gt;")</f>
        <v>0</v>
      </c>
      <c r="Q321" cm="1">
        <f t="array" ref="Q321">SUMPRODUCT((keyword_comparison[record_identifier]=keyword_comparison[[#This Row],[record_identifier]])*(LEN(keyword_comparison[keyword_matcher_output])&gt;0))</f>
        <v>2</v>
      </c>
    </row>
    <row r="322" spans="1:17" x14ac:dyDescent="0.25">
      <c r="A322" t="s">
        <v>326</v>
      </c>
      <c r="B322" t="s">
        <v>327</v>
      </c>
      <c r="C322" t="s">
        <v>328</v>
      </c>
      <c r="D322" t="s">
        <v>20</v>
      </c>
      <c r="E322" t="s">
        <v>21</v>
      </c>
      <c r="F322" t="s">
        <v>377</v>
      </c>
      <c r="G322" t="s">
        <v>72</v>
      </c>
      <c r="H322" t="s">
        <v>54</v>
      </c>
      <c r="P322">
        <f>COUNTIFS(keyword_comparison[record_identifier],keyword_comparison[[#This Row],[record_identifier]],keyword_comparison[Review],"&lt;&gt;")</f>
        <v>0</v>
      </c>
      <c r="Q322" cm="1">
        <f t="array" ref="Q322">SUMPRODUCT((keyword_comparison[record_identifier]=keyword_comparison[[#This Row],[record_identifier]])*(LEN(keyword_comparison[keyword_matcher_output])&gt;0))</f>
        <v>2</v>
      </c>
    </row>
    <row r="323" spans="1:17" x14ac:dyDescent="0.25">
      <c r="A323" t="s">
        <v>326</v>
      </c>
      <c r="B323" t="s">
        <v>327</v>
      </c>
      <c r="C323" t="s">
        <v>328</v>
      </c>
      <c r="D323" t="s">
        <v>20</v>
      </c>
      <c r="E323" t="s">
        <v>21</v>
      </c>
      <c r="F323" t="s">
        <v>160</v>
      </c>
      <c r="G323" t="s">
        <v>31</v>
      </c>
      <c r="H323" t="s">
        <v>54</v>
      </c>
      <c r="P323">
        <f>COUNTIFS(keyword_comparison[record_identifier],keyword_comparison[[#This Row],[record_identifier]],keyword_comparison[Review],"&lt;&gt;")</f>
        <v>0</v>
      </c>
      <c r="Q323" cm="1">
        <f t="array" ref="Q323">SUMPRODUCT((keyword_comparison[record_identifier]=keyword_comparison[[#This Row],[record_identifier]])*(LEN(keyword_comparison[keyword_matcher_output])&gt;0))</f>
        <v>2</v>
      </c>
    </row>
    <row r="324" spans="1:17" x14ac:dyDescent="0.25">
      <c r="A324" t="s">
        <v>326</v>
      </c>
      <c r="B324" t="s">
        <v>327</v>
      </c>
      <c r="C324" t="s">
        <v>328</v>
      </c>
      <c r="D324" t="s">
        <v>20</v>
      </c>
      <c r="E324" t="s">
        <v>21</v>
      </c>
      <c r="F324" t="s">
        <v>159</v>
      </c>
      <c r="G324" t="s">
        <v>31</v>
      </c>
      <c r="H324" t="s">
        <v>54</v>
      </c>
      <c r="P324">
        <f>COUNTIFS(keyword_comparison[record_identifier],keyword_comparison[[#This Row],[record_identifier]],keyword_comparison[Review],"&lt;&gt;")</f>
        <v>0</v>
      </c>
      <c r="Q324" cm="1">
        <f t="array" ref="Q324">SUMPRODUCT((keyword_comparison[record_identifier]=keyword_comparison[[#This Row],[record_identifier]])*(LEN(keyword_comparison[keyword_matcher_output])&gt;0))</f>
        <v>2</v>
      </c>
    </row>
    <row r="325" spans="1:17" x14ac:dyDescent="0.25">
      <c r="A325" t="s">
        <v>326</v>
      </c>
      <c r="B325" t="s">
        <v>327</v>
      </c>
      <c r="C325" t="s">
        <v>328</v>
      </c>
      <c r="D325" t="s">
        <v>20</v>
      </c>
      <c r="E325" t="s">
        <v>33</v>
      </c>
      <c r="H325" t="s">
        <v>54</v>
      </c>
      <c r="J325" t="s">
        <v>378</v>
      </c>
      <c r="K325" t="s">
        <v>379</v>
      </c>
      <c r="M325">
        <v>0.22189999999999999</v>
      </c>
      <c r="N325">
        <v>1</v>
      </c>
      <c r="P325">
        <f>COUNTIFS(keyword_comparison[record_identifier],keyword_comparison[[#This Row],[record_identifier]],keyword_comparison[Review],"&lt;&gt;")</f>
        <v>0</v>
      </c>
      <c r="Q325" cm="1">
        <f t="array" ref="Q325">SUMPRODUCT((keyword_comparison[record_identifier]=keyword_comparison[[#This Row],[record_identifier]])*(LEN(keyword_comparison[keyword_matcher_output])&gt;0))</f>
        <v>2</v>
      </c>
    </row>
    <row r="326" spans="1:17" x14ac:dyDescent="0.25">
      <c r="A326" t="s">
        <v>326</v>
      </c>
      <c r="B326" t="s">
        <v>327</v>
      </c>
      <c r="C326" t="s">
        <v>328</v>
      </c>
      <c r="D326" t="s">
        <v>20</v>
      </c>
      <c r="E326" t="s">
        <v>33</v>
      </c>
      <c r="H326" t="s">
        <v>54</v>
      </c>
      <c r="J326" t="s">
        <v>98</v>
      </c>
      <c r="K326" t="s">
        <v>93</v>
      </c>
      <c r="M326">
        <v>0.13569999999999999</v>
      </c>
      <c r="N326">
        <v>2</v>
      </c>
      <c r="P326">
        <f>COUNTIFS(keyword_comparison[record_identifier],keyword_comparison[[#This Row],[record_identifier]],keyword_comparison[Review],"&lt;&gt;")</f>
        <v>0</v>
      </c>
      <c r="Q326" cm="1">
        <f t="array" ref="Q326">SUMPRODUCT((keyword_comparison[record_identifier]=keyword_comparison[[#This Row],[record_identifier]])*(LEN(keyword_comparison[keyword_matcher_output])&gt;0))</f>
        <v>2</v>
      </c>
    </row>
    <row r="327" spans="1:17" x14ac:dyDescent="0.25">
      <c r="A327" t="s">
        <v>326</v>
      </c>
      <c r="B327" t="s">
        <v>327</v>
      </c>
      <c r="C327" t="s">
        <v>328</v>
      </c>
      <c r="D327" t="s">
        <v>20</v>
      </c>
      <c r="E327" t="s">
        <v>33</v>
      </c>
      <c r="H327" t="s">
        <v>54</v>
      </c>
      <c r="J327" t="s">
        <v>98</v>
      </c>
      <c r="K327" t="s">
        <v>92</v>
      </c>
      <c r="M327">
        <v>0.13569999999999999</v>
      </c>
      <c r="N327">
        <v>3</v>
      </c>
      <c r="P327">
        <f>COUNTIFS(keyword_comparison[record_identifier],keyword_comparison[[#This Row],[record_identifier]],keyword_comparison[Review],"&lt;&gt;")</f>
        <v>0</v>
      </c>
      <c r="Q327" cm="1">
        <f t="array" ref="Q327">SUMPRODUCT((keyword_comparison[record_identifier]=keyword_comparison[[#This Row],[record_identifier]])*(LEN(keyword_comparison[keyword_matcher_output])&gt;0))</f>
        <v>2</v>
      </c>
    </row>
    <row r="328" spans="1:17" x14ac:dyDescent="0.25">
      <c r="A328" t="s">
        <v>326</v>
      </c>
      <c r="B328" t="s">
        <v>327</v>
      </c>
      <c r="C328" t="s">
        <v>328</v>
      </c>
      <c r="D328" t="s">
        <v>20</v>
      </c>
      <c r="E328" t="s">
        <v>33</v>
      </c>
      <c r="H328" t="s">
        <v>54</v>
      </c>
      <c r="J328" t="s">
        <v>380</v>
      </c>
      <c r="K328" t="s">
        <v>381</v>
      </c>
      <c r="M328">
        <v>6.6799999999999998E-2</v>
      </c>
      <c r="N328">
        <v>4</v>
      </c>
      <c r="P328">
        <f>COUNTIFS(keyword_comparison[record_identifier],keyword_comparison[[#This Row],[record_identifier]],keyword_comparison[Review],"&lt;&gt;")</f>
        <v>0</v>
      </c>
      <c r="Q328" cm="1">
        <f t="array" ref="Q328">SUMPRODUCT((keyword_comparison[record_identifier]=keyword_comparison[[#This Row],[record_identifier]])*(LEN(keyword_comparison[keyword_matcher_output])&gt;0))</f>
        <v>2</v>
      </c>
    </row>
    <row r="329" spans="1:17" x14ac:dyDescent="0.25">
      <c r="A329" t="s">
        <v>326</v>
      </c>
      <c r="B329" t="s">
        <v>327</v>
      </c>
      <c r="C329" t="s">
        <v>328</v>
      </c>
      <c r="D329" t="s">
        <v>20</v>
      </c>
      <c r="E329" t="s">
        <v>48</v>
      </c>
      <c r="H329" t="s">
        <v>54</v>
      </c>
      <c r="J329" t="s">
        <v>382</v>
      </c>
      <c r="K329" t="s">
        <v>383</v>
      </c>
      <c r="P329">
        <f>COUNTIFS(keyword_comparison[record_identifier],keyword_comparison[[#This Row],[record_identifier]],keyword_comparison[Review],"&lt;&gt;")</f>
        <v>0</v>
      </c>
      <c r="Q329" cm="1">
        <f t="array" ref="Q329">SUMPRODUCT((keyword_comparison[record_identifier]=keyword_comparison[[#This Row],[record_identifier]])*(LEN(keyword_comparison[keyword_matcher_output])&gt;0))</f>
        <v>2</v>
      </c>
    </row>
    <row r="330" spans="1:17" x14ac:dyDescent="0.25">
      <c r="A330" t="s">
        <v>326</v>
      </c>
      <c r="B330" t="s">
        <v>327</v>
      </c>
      <c r="C330" t="s">
        <v>328</v>
      </c>
      <c r="D330" t="s">
        <v>20</v>
      </c>
      <c r="E330" t="s">
        <v>48</v>
      </c>
      <c r="H330" t="s">
        <v>54</v>
      </c>
      <c r="J330" t="s">
        <v>84</v>
      </c>
      <c r="K330" t="s">
        <v>85</v>
      </c>
      <c r="P330">
        <f>COUNTIFS(keyword_comparison[record_identifier],keyword_comparison[[#This Row],[record_identifier]],keyword_comparison[Review],"&lt;&gt;")</f>
        <v>0</v>
      </c>
      <c r="Q330" cm="1">
        <f t="array" ref="Q330">SUMPRODUCT((keyword_comparison[record_identifier]=keyword_comparison[[#This Row],[record_identifier]])*(LEN(keyword_comparison[keyword_matcher_output])&gt;0))</f>
        <v>2</v>
      </c>
    </row>
    <row r="331" spans="1:17" x14ac:dyDescent="0.25">
      <c r="A331" t="s">
        <v>384</v>
      </c>
      <c r="B331" t="s">
        <v>385</v>
      </c>
      <c r="C331" t="s">
        <v>386</v>
      </c>
      <c r="D331" t="s">
        <v>20</v>
      </c>
      <c r="E331" t="s">
        <v>21</v>
      </c>
      <c r="F331" t="s">
        <v>387</v>
      </c>
      <c r="G331" t="s">
        <v>72</v>
      </c>
      <c r="H331" t="s">
        <v>54</v>
      </c>
      <c r="P331">
        <f>COUNTIFS(keyword_comparison[record_identifier],keyword_comparison[[#This Row],[record_identifier]],keyword_comparison[Review],"&lt;&gt;")</f>
        <v>13</v>
      </c>
      <c r="Q331" cm="1">
        <f t="array" ref="Q331">SUMPRODUCT((keyword_comparison[record_identifier]=keyword_comparison[[#This Row],[record_identifier]])*(LEN(keyword_comparison[keyword_matcher_output])&gt;0))</f>
        <v>0</v>
      </c>
    </row>
    <row r="332" spans="1:17" x14ac:dyDescent="0.25">
      <c r="A332" t="s">
        <v>384</v>
      </c>
      <c r="B332" t="s">
        <v>385</v>
      </c>
      <c r="C332" t="s">
        <v>386</v>
      </c>
      <c r="D332" t="s">
        <v>20</v>
      </c>
      <c r="E332" t="s">
        <v>21</v>
      </c>
      <c r="F332" t="s">
        <v>388</v>
      </c>
      <c r="G332" t="s">
        <v>31</v>
      </c>
      <c r="H332" t="s">
        <v>54</v>
      </c>
      <c r="P332">
        <f>COUNTIFS(keyword_comparison[record_identifier],keyword_comparison[[#This Row],[record_identifier]],keyword_comparison[Review],"&lt;&gt;")</f>
        <v>13</v>
      </c>
      <c r="Q332" cm="1">
        <f t="array" ref="Q332">SUMPRODUCT((keyword_comparison[record_identifier]=keyword_comparison[[#This Row],[record_identifier]])*(LEN(keyword_comparison[keyword_matcher_output])&gt;0))</f>
        <v>0</v>
      </c>
    </row>
    <row r="333" spans="1:17" x14ac:dyDescent="0.25">
      <c r="A333" t="s">
        <v>384</v>
      </c>
      <c r="B333" t="s">
        <v>385</v>
      </c>
      <c r="C333" t="s">
        <v>386</v>
      </c>
      <c r="D333" t="s">
        <v>20</v>
      </c>
      <c r="E333" t="s">
        <v>21</v>
      </c>
      <c r="F333" t="s">
        <v>389</v>
      </c>
      <c r="G333" t="s">
        <v>31</v>
      </c>
      <c r="H333" t="s">
        <v>54</v>
      </c>
      <c r="P333">
        <f>COUNTIFS(keyword_comparison[record_identifier],keyword_comparison[[#This Row],[record_identifier]],keyword_comparison[Review],"&lt;&gt;")</f>
        <v>13</v>
      </c>
      <c r="Q333" cm="1">
        <f t="array" ref="Q333">SUMPRODUCT((keyword_comparison[record_identifier]=keyword_comparison[[#This Row],[record_identifier]])*(LEN(keyword_comparison[keyword_matcher_output])&gt;0))</f>
        <v>0</v>
      </c>
    </row>
    <row r="334" spans="1:17" x14ac:dyDescent="0.25">
      <c r="A334" t="s">
        <v>384</v>
      </c>
      <c r="B334" t="s">
        <v>385</v>
      </c>
      <c r="C334" t="s">
        <v>386</v>
      </c>
      <c r="D334" t="s">
        <v>20</v>
      </c>
      <c r="E334" t="s">
        <v>21</v>
      </c>
      <c r="F334" t="s">
        <v>216</v>
      </c>
      <c r="G334" t="s">
        <v>72</v>
      </c>
      <c r="H334" t="s">
        <v>54</v>
      </c>
      <c r="P334">
        <f>COUNTIFS(keyword_comparison[record_identifier],keyword_comparison[[#This Row],[record_identifier]],keyword_comparison[Review],"&lt;&gt;")</f>
        <v>13</v>
      </c>
      <c r="Q334" cm="1">
        <f t="array" ref="Q334">SUMPRODUCT((keyword_comparison[record_identifier]=keyword_comparison[[#This Row],[record_identifier]])*(LEN(keyword_comparison[keyword_matcher_output])&gt;0))</f>
        <v>0</v>
      </c>
    </row>
    <row r="335" spans="1:17" x14ac:dyDescent="0.25">
      <c r="A335" t="s">
        <v>384</v>
      </c>
      <c r="B335" t="s">
        <v>385</v>
      </c>
      <c r="C335" t="s">
        <v>386</v>
      </c>
      <c r="D335" t="s">
        <v>20</v>
      </c>
      <c r="E335" t="s">
        <v>21</v>
      </c>
      <c r="F335" t="s">
        <v>390</v>
      </c>
      <c r="G335" t="s">
        <v>31</v>
      </c>
      <c r="H335" t="s">
        <v>54</v>
      </c>
      <c r="P335">
        <f>COUNTIFS(keyword_comparison[record_identifier],keyword_comparison[[#This Row],[record_identifier]],keyword_comparison[Review],"&lt;&gt;")</f>
        <v>13</v>
      </c>
      <c r="Q335" cm="1">
        <f t="array" ref="Q335">SUMPRODUCT((keyword_comparison[record_identifier]=keyword_comparison[[#This Row],[record_identifier]])*(LEN(keyword_comparison[keyword_matcher_output])&gt;0))</f>
        <v>0</v>
      </c>
    </row>
    <row r="336" spans="1:17" x14ac:dyDescent="0.25">
      <c r="A336" t="s">
        <v>384</v>
      </c>
      <c r="B336" t="s">
        <v>385</v>
      </c>
      <c r="C336" t="s">
        <v>386</v>
      </c>
      <c r="D336" t="s">
        <v>20</v>
      </c>
      <c r="E336" t="s">
        <v>21</v>
      </c>
      <c r="F336" t="s">
        <v>391</v>
      </c>
      <c r="G336" t="s">
        <v>23</v>
      </c>
      <c r="H336" t="s">
        <v>54</v>
      </c>
      <c r="P336">
        <f>COUNTIFS(keyword_comparison[record_identifier],keyword_comparison[[#This Row],[record_identifier]],keyword_comparison[Review],"&lt;&gt;")</f>
        <v>13</v>
      </c>
      <c r="Q336" cm="1">
        <f t="array" ref="Q336">SUMPRODUCT((keyword_comparison[record_identifier]=keyword_comparison[[#This Row],[record_identifier]])*(LEN(keyword_comparison[keyword_matcher_output])&gt;0))</f>
        <v>0</v>
      </c>
    </row>
    <row r="337" spans="1:17" x14ac:dyDescent="0.25">
      <c r="A337" t="s">
        <v>384</v>
      </c>
      <c r="B337" t="s">
        <v>385</v>
      </c>
      <c r="C337" t="s">
        <v>386</v>
      </c>
      <c r="D337" t="s">
        <v>20</v>
      </c>
      <c r="E337" t="s">
        <v>21</v>
      </c>
      <c r="F337" t="s">
        <v>392</v>
      </c>
      <c r="G337" t="s">
        <v>23</v>
      </c>
      <c r="H337" t="s">
        <v>54</v>
      </c>
      <c r="P337">
        <f>COUNTIFS(keyword_comparison[record_identifier],keyword_comparison[[#This Row],[record_identifier]],keyword_comparison[Review],"&lt;&gt;")</f>
        <v>13</v>
      </c>
      <c r="Q337" cm="1">
        <f t="array" ref="Q337">SUMPRODUCT((keyword_comparison[record_identifier]=keyword_comparison[[#This Row],[record_identifier]])*(LEN(keyword_comparison[keyword_matcher_output])&gt;0))</f>
        <v>0</v>
      </c>
    </row>
    <row r="338" spans="1:17" x14ac:dyDescent="0.25">
      <c r="A338" t="s">
        <v>384</v>
      </c>
      <c r="B338" t="s">
        <v>385</v>
      </c>
      <c r="C338" t="s">
        <v>386</v>
      </c>
      <c r="D338" t="s">
        <v>20</v>
      </c>
      <c r="E338" t="s">
        <v>21</v>
      </c>
      <c r="F338" t="s">
        <v>393</v>
      </c>
      <c r="G338" t="s">
        <v>23</v>
      </c>
      <c r="H338" t="s">
        <v>54</v>
      </c>
      <c r="P338">
        <f>COUNTIFS(keyword_comparison[record_identifier],keyword_comparison[[#This Row],[record_identifier]],keyword_comparison[Review],"&lt;&gt;")</f>
        <v>13</v>
      </c>
      <c r="Q338" cm="1">
        <f t="array" ref="Q338">SUMPRODUCT((keyword_comparison[record_identifier]=keyword_comparison[[#This Row],[record_identifier]])*(LEN(keyword_comparison[keyword_matcher_output])&gt;0))</f>
        <v>0</v>
      </c>
    </row>
    <row r="339" spans="1:17" x14ac:dyDescent="0.25">
      <c r="A339" t="s">
        <v>384</v>
      </c>
      <c r="B339" t="s">
        <v>385</v>
      </c>
      <c r="C339" t="s">
        <v>386</v>
      </c>
      <c r="D339" t="s">
        <v>20</v>
      </c>
      <c r="E339" t="s">
        <v>21</v>
      </c>
      <c r="F339" t="s">
        <v>394</v>
      </c>
      <c r="G339" t="s">
        <v>31</v>
      </c>
      <c r="H339" t="s">
        <v>54</v>
      </c>
      <c r="P339">
        <f>COUNTIFS(keyword_comparison[record_identifier],keyword_comparison[[#This Row],[record_identifier]],keyword_comparison[Review],"&lt;&gt;")</f>
        <v>13</v>
      </c>
      <c r="Q339" cm="1">
        <f t="array" ref="Q339">SUMPRODUCT((keyword_comparison[record_identifier]=keyword_comparison[[#This Row],[record_identifier]])*(LEN(keyword_comparison[keyword_matcher_output])&gt;0))</f>
        <v>0</v>
      </c>
    </row>
    <row r="340" spans="1:17" x14ac:dyDescent="0.25">
      <c r="A340" t="s">
        <v>384</v>
      </c>
      <c r="B340" t="s">
        <v>385</v>
      </c>
      <c r="C340" t="s">
        <v>386</v>
      </c>
      <c r="D340" t="s">
        <v>20</v>
      </c>
      <c r="E340" t="s">
        <v>21</v>
      </c>
      <c r="F340" t="s">
        <v>71</v>
      </c>
      <c r="G340" t="s">
        <v>72</v>
      </c>
      <c r="H340" t="s">
        <v>54</v>
      </c>
      <c r="P340">
        <f>COUNTIFS(keyword_comparison[record_identifier],keyword_comparison[[#This Row],[record_identifier]],keyword_comparison[Review],"&lt;&gt;")</f>
        <v>13</v>
      </c>
      <c r="Q340" cm="1">
        <f t="array" ref="Q340">SUMPRODUCT((keyword_comparison[record_identifier]=keyword_comparison[[#This Row],[record_identifier]])*(LEN(keyword_comparison[keyword_matcher_output])&gt;0))</f>
        <v>0</v>
      </c>
    </row>
    <row r="341" spans="1:17" x14ac:dyDescent="0.25">
      <c r="A341" t="s">
        <v>384</v>
      </c>
      <c r="B341" t="s">
        <v>385</v>
      </c>
      <c r="C341" t="s">
        <v>386</v>
      </c>
      <c r="D341" t="s">
        <v>20</v>
      </c>
      <c r="E341" t="s">
        <v>21</v>
      </c>
      <c r="F341" t="s">
        <v>395</v>
      </c>
      <c r="G341" t="s">
        <v>72</v>
      </c>
      <c r="H341" t="s">
        <v>54</v>
      </c>
      <c r="P341">
        <f>COUNTIFS(keyword_comparison[record_identifier],keyword_comparison[[#This Row],[record_identifier]],keyword_comparison[Review],"&lt;&gt;")</f>
        <v>13</v>
      </c>
      <c r="Q341" cm="1">
        <f t="array" ref="Q341">SUMPRODUCT((keyword_comparison[record_identifier]=keyword_comparison[[#This Row],[record_identifier]])*(LEN(keyword_comparison[keyword_matcher_output])&gt;0))</f>
        <v>0</v>
      </c>
    </row>
    <row r="342" spans="1:17" x14ac:dyDescent="0.25">
      <c r="A342" t="s">
        <v>384</v>
      </c>
      <c r="B342" t="s">
        <v>385</v>
      </c>
      <c r="C342" t="s">
        <v>386</v>
      </c>
      <c r="D342" t="s">
        <v>20</v>
      </c>
      <c r="E342" t="s">
        <v>21</v>
      </c>
      <c r="F342" t="s">
        <v>396</v>
      </c>
      <c r="G342" t="s">
        <v>23</v>
      </c>
      <c r="H342" t="s">
        <v>54</v>
      </c>
      <c r="P342">
        <f>COUNTIFS(keyword_comparison[record_identifier],keyword_comparison[[#This Row],[record_identifier]],keyword_comparison[Review],"&lt;&gt;")</f>
        <v>13</v>
      </c>
      <c r="Q342" cm="1">
        <f t="array" ref="Q342">SUMPRODUCT((keyword_comparison[record_identifier]=keyword_comparison[[#This Row],[record_identifier]])*(LEN(keyword_comparison[keyword_matcher_output])&gt;0))</f>
        <v>0</v>
      </c>
    </row>
    <row r="343" spans="1:17" x14ac:dyDescent="0.25">
      <c r="A343" t="s">
        <v>384</v>
      </c>
      <c r="B343" t="s">
        <v>385</v>
      </c>
      <c r="C343" t="s">
        <v>386</v>
      </c>
      <c r="D343" t="s">
        <v>20</v>
      </c>
      <c r="E343" t="s">
        <v>21</v>
      </c>
      <c r="F343" t="s">
        <v>397</v>
      </c>
      <c r="G343" t="s">
        <v>23</v>
      </c>
      <c r="H343" t="s">
        <v>54</v>
      </c>
      <c r="P343">
        <f>COUNTIFS(keyword_comparison[record_identifier],keyword_comparison[[#This Row],[record_identifier]],keyword_comparison[Review],"&lt;&gt;")</f>
        <v>13</v>
      </c>
      <c r="Q343" cm="1">
        <f t="array" ref="Q343">SUMPRODUCT((keyword_comparison[record_identifier]=keyword_comparison[[#This Row],[record_identifier]])*(LEN(keyword_comparison[keyword_matcher_output])&gt;0))</f>
        <v>0</v>
      </c>
    </row>
    <row r="344" spans="1:17" x14ac:dyDescent="0.25">
      <c r="A344" t="s">
        <v>384</v>
      </c>
      <c r="B344" t="s">
        <v>385</v>
      </c>
      <c r="C344" t="s">
        <v>386</v>
      </c>
      <c r="D344" t="s">
        <v>20</v>
      </c>
      <c r="E344" t="s">
        <v>21</v>
      </c>
      <c r="F344" t="s">
        <v>398</v>
      </c>
      <c r="G344" t="s">
        <v>72</v>
      </c>
      <c r="H344" t="s">
        <v>54</v>
      </c>
      <c r="P344">
        <f>COUNTIFS(keyword_comparison[record_identifier],keyword_comparison[[#This Row],[record_identifier]],keyword_comparison[Review],"&lt;&gt;")</f>
        <v>13</v>
      </c>
      <c r="Q344" cm="1">
        <f t="array" ref="Q344">SUMPRODUCT((keyword_comparison[record_identifier]=keyword_comparison[[#This Row],[record_identifier]])*(LEN(keyword_comparison[keyword_matcher_output])&gt;0))</f>
        <v>0</v>
      </c>
    </row>
    <row r="345" spans="1:17" x14ac:dyDescent="0.25">
      <c r="A345" t="s">
        <v>384</v>
      </c>
      <c r="B345" t="s">
        <v>385</v>
      </c>
      <c r="C345" t="s">
        <v>386</v>
      </c>
      <c r="D345" t="s">
        <v>20</v>
      </c>
      <c r="E345" t="s">
        <v>21</v>
      </c>
      <c r="F345" t="s">
        <v>74</v>
      </c>
      <c r="G345" t="s">
        <v>72</v>
      </c>
      <c r="H345" t="s">
        <v>54</v>
      </c>
      <c r="P345">
        <f>COUNTIFS(keyword_comparison[record_identifier],keyword_comparison[[#This Row],[record_identifier]],keyword_comparison[Review],"&lt;&gt;")</f>
        <v>13</v>
      </c>
      <c r="Q345" cm="1">
        <f t="array" ref="Q345">SUMPRODUCT((keyword_comparison[record_identifier]=keyword_comparison[[#This Row],[record_identifier]])*(LEN(keyword_comparison[keyword_matcher_output])&gt;0))</f>
        <v>0</v>
      </c>
    </row>
    <row r="346" spans="1:17" x14ac:dyDescent="0.25">
      <c r="A346" t="s">
        <v>384</v>
      </c>
      <c r="B346" t="s">
        <v>385</v>
      </c>
      <c r="C346" t="s">
        <v>386</v>
      </c>
      <c r="D346" t="s">
        <v>20</v>
      </c>
      <c r="E346" t="s">
        <v>21</v>
      </c>
      <c r="F346" t="s">
        <v>244</v>
      </c>
      <c r="G346" t="s">
        <v>72</v>
      </c>
      <c r="H346" t="s">
        <v>54</v>
      </c>
      <c r="P346">
        <f>COUNTIFS(keyword_comparison[record_identifier],keyword_comparison[[#This Row],[record_identifier]],keyword_comparison[Review],"&lt;&gt;")</f>
        <v>13</v>
      </c>
      <c r="Q346" cm="1">
        <f t="array" ref="Q346">SUMPRODUCT((keyword_comparison[record_identifier]=keyword_comparison[[#This Row],[record_identifier]])*(LEN(keyword_comparison[keyword_matcher_output])&gt;0))</f>
        <v>0</v>
      </c>
    </row>
    <row r="347" spans="1:17" x14ac:dyDescent="0.25">
      <c r="A347" t="s">
        <v>384</v>
      </c>
      <c r="B347" t="s">
        <v>385</v>
      </c>
      <c r="C347" t="s">
        <v>386</v>
      </c>
      <c r="D347" t="s">
        <v>20</v>
      </c>
      <c r="E347" t="s">
        <v>21</v>
      </c>
      <c r="F347" t="s">
        <v>399</v>
      </c>
      <c r="G347" t="s">
        <v>23</v>
      </c>
      <c r="H347" t="s">
        <v>54</v>
      </c>
      <c r="P347">
        <f>COUNTIFS(keyword_comparison[record_identifier],keyword_comparison[[#This Row],[record_identifier]],keyword_comparison[Review],"&lt;&gt;")</f>
        <v>13</v>
      </c>
      <c r="Q347" cm="1">
        <f t="array" ref="Q347">SUMPRODUCT((keyword_comparison[record_identifier]=keyword_comparison[[#This Row],[record_identifier]])*(LEN(keyword_comparison[keyword_matcher_output])&gt;0))</f>
        <v>0</v>
      </c>
    </row>
    <row r="348" spans="1:17" x14ac:dyDescent="0.25">
      <c r="A348" t="s">
        <v>384</v>
      </c>
      <c r="B348" t="s">
        <v>385</v>
      </c>
      <c r="C348" t="s">
        <v>386</v>
      </c>
      <c r="D348" t="s">
        <v>20</v>
      </c>
      <c r="E348" t="s">
        <v>33</v>
      </c>
      <c r="H348" t="s">
        <v>54</v>
      </c>
      <c r="I348" t="s">
        <v>88</v>
      </c>
      <c r="J348" t="s">
        <v>400</v>
      </c>
      <c r="K348" t="s">
        <v>401</v>
      </c>
      <c r="M348">
        <v>0.11899999999999999</v>
      </c>
      <c r="N348">
        <v>1</v>
      </c>
      <c r="P348">
        <f>COUNTIFS(keyword_comparison[record_identifier],keyword_comparison[[#This Row],[record_identifier]],keyword_comparison[Review],"&lt;&gt;")</f>
        <v>13</v>
      </c>
      <c r="Q348" cm="1">
        <f t="array" ref="Q348">SUMPRODUCT((keyword_comparison[record_identifier]=keyword_comparison[[#This Row],[record_identifier]])*(LEN(keyword_comparison[keyword_matcher_output])&gt;0))</f>
        <v>0</v>
      </c>
    </row>
    <row r="349" spans="1:17" x14ac:dyDescent="0.25">
      <c r="A349" t="s">
        <v>384</v>
      </c>
      <c r="B349" t="s">
        <v>385</v>
      </c>
      <c r="C349" t="s">
        <v>386</v>
      </c>
      <c r="D349" t="s">
        <v>20</v>
      </c>
      <c r="E349" t="s">
        <v>33</v>
      </c>
      <c r="H349" t="s">
        <v>54</v>
      </c>
      <c r="I349" t="s">
        <v>88</v>
      </c>
      <c r="J349" t="s">
        <v>308</v>
      </c>
      <c r="K349" t="s">
        <v>309</v>
      </c>
      <c r="M349">
        <v>6.3200000000000006E-2</v>
      </c>
      <c r="N349">
        <v>2</v>
      </c>
      <c r="P349">
        <f>COUNTIFS(keyword_comparison[record_identifier],keyword_comparison[[#This Row],[record_identifier]],keyword_comparison[Review],"&lt;&gt;")</f>
        <v>13</v>
      </c>
      <c r="Q349" cm="1">
        <f t="array" ref="Q349">SUMPRODUCT((keyword_comparison[record_identifier]=keyword_comparison[[#This Row],[record_identifier]])*(LEN(keyword_comparison[keyword_matcher_output])&gt;0))</f>
        <v>0</v>
      </c>
    </row>
    <row r="350" spans="1:17" x14ac:dyDescent="0.25">
      <c r="A350" t="s">
        <v>384</v>
      </c>
      <c r="B350" t="s">
        <v>385</v>
      </c>
      <c r="C350" t="s">
        <v>386</v>
      </c>
      <c r="D350" t="s">
        <v>20</v>
      </c>
      <c r="E350" t="s">
        <v>48</v>
      </c>
      <c r="H350" t="s">
        <v>54</v>
      </c>
      <c r="I350" t="s">
        <v>80</v>
      </c>
      <c r="J350" t="s">
        <v>402</v>
      </c>
      <c r="K350" t="s">
        <v>403</v>
      </c>
      <c r="P350">
        <f>COUNTIFS(keyword_comparison[record_identifier],keyword_comparison[[#This Row],[record_identifier]],keyword_comparison[Review],"&lt;&gt;")</f>
        <v>13</v>
      </c>
      <c r="Q350" cm="1">
        <f t="array" ref="Q350">SUMPRODUCT((keyword_comparison[record_identifier]=keyword_comparison[[#This Row],[record_identifier]])*(LEN(keyword_comparison[keyword_matcher_output])&gt;0))</f>
        <v>0</v>
      </c>
    </row>
    <row r="351" spans="1:17" x14ac:dyDescent="0.25">
      <c r="A351" t="s">
        <v>384</v>
      </c>
      <c r="B351" t="s">
        <v>385</v>
      </c>
      <c r="C351" t="s">
        <v>386</v>
      </c>
      <c r="D351" t="s">
        <v>20</v>
      </c>
      <c r="E351" t="s">
        <v>48</v>
      </c>
      <c r="H351" t="s">
        <v>54</v>
      </c>
      <c r="I351" t="s">
        <v>80</v>
      </c>
      <c r="J351" t="s">
        <v>404</v>
      </c>
      <c r="K351" t="s">
        <v>405</v>
      </c>
      <c r="P351">
        <f>COUNTIFS(keyword_comparison[record_identifier],keyword_comparison[[#This Row],[record_identifier]],keyword_comparison[Review],"&lt;&gt;")</f>
        <v>13</v>
      </c>
      <c r="Q351" cm="1">
        <f t="array" ref="Q351">SUMPRODUCT((keyword_comparison[record_identifier]=keyword_comparison[[#This Row],[record_identifier]])*(LEN(keyword_comparison[keyword_matcher_output])&gt;0))</f>
        <v>0</v>
      </c>
    </row>
    <row r="352" spans="1:17" x14ac:dyDescent="0.25">
      <c r="A352" t="s">
        <v>384</v>
      </c>
      <c r="B352" t="s">
        <v>385</v>
      </c>
      <c r="C352" t="s">
        <v>386</v>
      </c>
      <c r="D352" t="s">
        <v>20</v>
      </c>
      <c r="E352" t="s">
        <v>53</v>
      </c>
      <c r="F352" t="s">
        <v>54</v>
      </c>
      <c r="G352" t="s">
        <v>54</v>
      </c>
      <c r="H352" t="s">
        <v>54</v>
      </c>
      <c r="I352" t="s">
        <v>80</v>
      </c>
      <c r="J352" t="s">
        <v>402</v>
      </c>
      <c r="K352" t="s">
        <v>403</v>
      </c>
      <c r="O352">
        <v>1</v>
      </c>
      <c r="P352">
        <f>COUNTIFS(keyword_comparison[record_identifier],keyword_comparison[[#This Row],[record_identifier]],keyword_comparison[Review],"&lt;&gt;")</f>
        <v>13</v>
      </c>
      <c r="Q352" cm="1">
        <f t="array" ref="Q352">SUMPRODUCT((keyword_comparison[record_identifier]=keyword_comparison[[#This Row],[record_identifier]])*(LEN(keyword_comparison[keyword_matcher_output])&gt;0))</f>
        <v>0</v>
      </c>
    </row>
    <row r="353" spans="1:17" x14ac:dyDescent="0.25">
      <c r="A353" t="s">
        <v>384</v>
      </c>
      <c r="B353" t="s">
        <v>385</v>
      </c>
      <c r="C353" t="s">
        <v>386</v>
      </c>
      <c r="D353" t="s">
        <v>20</v>
      </c>
      <c r="E353" t="s">
        <v>53</v>
      </c>
      <c r="F353" t="s">
        <v>54</v>
      </c>
      <c r="G353" t="s">
        <v>54</v>
      </c>
      <c r="H353" t="s">
        <v>54</v>
      </c>
      <c r="I353" t="s">
        <v>80</v>
      </c>
      <c r="J353" t="s">
        <v>406</v>
      </c>
      <c r="K353" t="s">
        <v>56</v>
      </c>
      <c r="O353">
        <v>2</v>
      </c>
      <c r="P353">
        <f>COUNTIFS(keyword_comparison[record_identifier],keyword_comparison[[#This Row],[record_identifier]],keyword_comparison[Review],"&lt;&gt;")</f>
        <v>13</v>
      </c>
      <c r="Q353" cm="1">
        <f t="array" ref="Q353">SUMPRODUCT((keyword_comparison[record_identifier]=keyword_comparison[[#This Row],[record_identifier]])*(LEN(keyword_comparison[keyword_matcher_output])&gt;0))</f>
        <v>0</v>
      </c>
    </row>
    <row r="354" spans="1:17" x14ac:dyDescent="0.25">
      <c r="A354" t="s">
        <v>384</v>
      </c>
      <c r="B354" t="s">
        <v>385</v>
      </c>
      <c r="C354" t="s">
        <v>386</v>
      </c>
      <c r="D354" t="s">
        <v>20</v>
      </c>
      <c r="E354" t="s">
        <v>53</v>
      </c>
      <c r="F354" t="s">
        <v>54</v>
      </c>
      <c r="G354" t="s">
        <v>54</v>
      </c>
      <c r="H354" t="s">
        <v>54</v>
      </c>
      <c r="I354" t="s">
        <v>80</v>
      </c>
      <c r="J354" t="s">
        <v>89</v>
      </c>
      <c r="K354" t="s">
        <v>90</v>
      </c>
      <c r="O354">
        <v>3</v>
      </c>
      <c r="P354">
        <f>COUNTIFS(keyword_comparison[record_identifier],keyword_comparison[[#This Row],[record_identifier]],keyword_comparison[Review],"&lt;&gt;")</f>
        <v>13</v>
      </c>
      <c r="Q354" cm="1">
        <f t="array" ref="Q354">SUMPRODUCT((keyword_comparison[record_identifier]=keyword_comparison[[#This Row],[record_identifier]])*(LEN(keyword_comparison[keyword_matcher_output])&gt;0))</f>
        <v>0</v>
      </c>
    </row>
    <row r="355" spans="1:17" x14ac:dyDescent="0.25">
      <c r="A355" t="s">
        <v>384</v>
      </c>
      <c r="B355" t="s">
        <v>385</v>
      </c>
      <c r="C355" t="s">
        <v>386</v>
      </c>
      <c r="D355" t="s">
        <v>20</v>
      </c>
      <c r="E355" t="s">
        <v>53</v>
      </c>
      <c r="F355" t="s">
        <v>54</v>
      </c>
      <c r="G355" t="s">
        <v>54</v>
      </c>
      <c r="H355" t="s">
        <v>54</v>
      </c>
      <c r="I355" t="s">
        <v>88</v>
      </c>
      <c r="J355" t="s">
        <v>407</v>
      </c>
      <c r="K355" t="s">
        <v>408</v>
      </c>
      <c r="O355">
        <v>4</v>
      </c>
      <c r="P355">
        <f>COUNTIFS(keyword_comparison[record_identifier],keyword_comparison[[#This Row],[record_identifier]],keyword_comparison[Review],"&lt;&gt;")</f>
        <v>13</v>
      </c>
      <c r="Q355" cm="1">
        <f t="array" ref="Q355">SUMPRODUCT((keyword_comparison[record_identifier]=keyword_comparison[[#This Row],[record_identifier]])*(LEN(keyword_comparison[keyword_matcher_output])&gt;0))</f>
        <v>0</v>
      </c>
    </row>
    <row r="356" spans="1:17" x14ac:dyDescent="0.25">
      <c r="A356" t="s">
        <v>384</v>
      </c>
      <c r="B356" t="s">
        <v>385</v>
      </c>
      <c r="C356" t="s">
        <v>386</v>
      </c>
      <c r="D356" t="s">
        <v>20</v>
      </c>
      <c r="E356" t="s">
        <v>53</v>
      </c>
      <c r="F356" t="s">
        <v>54</v>
      </c>
      <c r="G356" t="s">
        <v>54</v>
      </c>
      <c r="H356" t="s">
        <v>54</v>
      </c>
      <c r="I356" t="s">
        <v>88</v>
      </c>
      <c r="J356" t="s">
        <v>409</v>
      </c>
      <c r="K356" t="s">
        <v>410</v>
      </c>
      <c r="O356">
        <v>6</v>
      </c>
      <c r="P356">
        <f>COUNTIFS(keyword_comparison[record_identifier],keyword_comparison[[#This Row],[record_identifier]],keyword_comparison[Review],"&lt;&gt;")</f>
        <v>13</v>
      </c>
      <c r="Q356" cm="1">
        <f t="array" ref="Q356">SUMPRODUCT((keyword_comparison[record_identifier]=keyword_comparison[[#This Row],[record_identifier]])*(LEN(keyword_comparison[keyword_matcher_output])&gt;0))</f>
        <v>0</v>
      </c>
    </row>
    <row r="357" spans="1:17" x14ac:dyDescent="0.25">
      <c r="A357" t="s">
        <v>384</v>
      </c>
      <c r="B357" t="s">
        <v>385</v>
      </c>
      <c r="C357" t="s">
        <v>386</v>
      </c>
      <c r="D357" t="s">
        <v>20</v>
      </c>
      <c r="E357" t="s">
        <v>53</v>
      </c>
      <c r="F357" t="s">
        <v>54</v>
      </c>
      <c r="G357" t="s">
        <v>54</v>
      </c>
      <c r="H357" t="s">
        <v>54</v>
      </c>
      <c r="I357" t="s">
        <v>88</v>
      </c>
      <c r="J357" t="s">
        <v>411</v>
      </c>
      <c r="K357" t="s">
        <v>50</v>
      </c>
      <c r="O357">
        <v>7</v>
      </c>
      <c r="P357">
        <f>COUNTIFS(keyword_comparison[record_identifier],keyword_comparison[[#This Row],[record_identifier]],keyword_comparison[Review],"&lt;&gt;")</f>
        <v>13</v>
      </c>
      <c r="Q357" cm="1">
        <f t="array" ref="Q357">SUMPRODUCT((keyword_comparison[record_identifier]=keyword_comparison[[#This Row],[record_identifier]])*(LEN(keyword_comparison[keyword_matcher_output])&gt;0))</f>
        <v>0</v>
      </c>
    </row>
    <row r="358" spans="1:17" x14ac:dyDescent="0.25">
      <c r="A358" t="s">
        <v>384</v>
      </c>
      <c r="B358" t="s">
        <v>385</v>
      </c>
      <c r="C358" t="s">
        <v>386</v>
      </c>
      <c r="D358" t="s">
        <v>20</v>
      </c>
      <c r="E358" t="s">
        <v>53</v>
      </c>
      <c r="F358" t="s">
        <v>54</v>
      </c>
      <c r="G358" t="s">
        <v>54</v>
      </c>
      <c r="H358" t="s">
        <v>54</v>
      </c>
      <c r="I358" t="s">
        <v>88</v>
      </c>
      <c r="J358" t="s">
        <v>140</v>
      </c>
      <c r="K358" t="s">
        <v>141</v>
      </c>
      <c r="O358">
        <v>8</v>
      </c>
      <c r="P358">
        <f>COUNTIFS(keyword_comparison[record_identifier],keyword_comparison[[#This Row],[record_identifier]],keyword_comparison[Review],"&lt;&gt;")</f>
        <v>13</v>
      </c>
      <c r="Q358" cm="1">
        <f t="array" ref="Q358">SUMPRODUCT((keyword_comparison[record_identifier]=keyword_comparison[[#This Row],[record_identifier]])*(LEN(keyword_comparison[keyword_matcher_output])&gt;0))</f>
        <v>0</v>
      </c>
    </row>
    <row r="359" spans="1:17" x14ac:dyDescent="0.25">
      <c r="A359" t="s">
        <v>384</v>
      </c>
      <c r="B359" t="s">
        <v>385</v>
      </c>
      <c r="C359" t="s">
        <v>386</v>
      </c>
      <c r="D359" t="s">
        <v>20</v>
      </c>
      <c r="E359" t="s">
        <v>53</v>
      </c>
      <c r="F359" t="s">
        <v>54</v>
      </c>
      <c r="G359" t="s">
        <v>54</v>
      </c>
      <c r="H359" t="s">
        <v>54</v>
      </c>
      <c r="I359" t="s">
        <v>88</v>
      </c>
      <c r="J359" t="s">
        <v>412</v>
      </c>
      <c r="K359" t="s">
        <v>413</v>
      </c>
      <c r="O359">
        <v>9</v>
      </c>
      <c r="P359">
        <f>COUNTIFS(keyword_comparison[record_identifier],keyword_comparison[[#This Row],[record_identifier]],keyword_comparison[Review],"&lt;&gt;")</f>
        <v>13</v>
      </c>
      <c r="Q359" cm="1">
        <f t="array" ref="Q359">SUMPRODUCT((keyword_comparison[record_identifier]=keyword_comparison[[#This Row],[record_identifier]])*(LEN(keyword_comparison[keyword_matcher_output])&gt;0))</f>
        <v>0</v>
      </c>
    </row>
    <row r="360" spans="1:17" x14ac:dyDescent="0.25">
      <c r="A360" t="s">
        <v>384</v>
      </c>
      <c r="B360" t="s">
        <v>385</v>
      </c>
      <c r="C360" t="s">
        <v>386</v>
      </c>
      <c r="D360" t="s">
        <v>20</v>
      </c>
      <c r="E360" t="s">
        <v>53</v>
      </c>
      <c r="F360" t="s">
        <v>54</v>
      </c>
      <c r="G360" t="s">
        <v>54</v>
      </c>
      <c r="H360" t="s">
        <v>54</v>
      </c>
      <c r="I360" t="s">
        <v>88</v>
      </c>
      <c r="J360" t="s">
        <v>414</v>
      </c>
      <c r="K360" t="s">
        <v>415</v>
      </c>
      <c r="O360">
        <v>10</v>
      </c>
      <c r="P360">
        <f>COUNTIFS(keyword_comparison[record_identifier],keyword_comparison[[#This Row],[record_identifier]],keyword_comparison[Review],"&lt;&gt;")</f>
        <v>13</v>
      </c>
      <c r="Q360" cm="1">
        <f t="array" ref="Q360">SUMPRODUCT((keyword_comparison[record_identifier]=keyword_comparison[[#This Row],[record_identifier]])*(LEN(keyword_comparison[keyword_matcher_output])&gt;0))</f>
        <v>0</v>
      </c>
    </row>
    <row r="361" spans="1:17" x14ac:dyDescent="0.25">
      <c r="A361" t="s">
        <v>416</v>
      </c>
      <c r="B361" t="s">
        <v>417</v>
      </c>
      <c r="C361" t="s">
        <v>418</v>
      </c>
      <c r="D361" t="s">
        <v>20</v>
      </c>
      <c r="E361" t="s">
        <v>21</v>
      </c>
      <c r="F361" t="s">
        <v>32</v>
      </c>
      <c r="G361" t="s">
        <v>31</v>
      </c>
      <c r="H361" t="s">
        <v>54</v>
      </c>
      <c r="P361">
        <f>COUNTIFS(keyword_comparison[record_identifier],keyword_comparison[[#This Row],[record_identifier]],keyword_comparison[Review],"&lt;&gt;")</f>
        <v>0</v>
      </c>
      <c r="Q361" cm="1">
        <f t="array" ref="Q361">SUMPRODUCT((keyword_comparison[record_identifier]=keyword_comparison[[#This Row],[record_identifier]])*(LEN(keyword_comparison[keyword_matcher_output])&gt;0))</f>
        <v>1</v>
      </c>
    </row>
    <row r="362" spans="1:17" x14ac:dyDescent="0.25">
      <c r="A362" t="s">
        <v>416</v>
      </c>
      <c r="B362" t="s">
        <v>417</v>
      </c>
      <c r="C362" t="s">
        <v>418</v>
      </c>
      <c r="D362" t="s">
        <v>20</v>
      </c>
      <c r="E362" t="s">
        <v>21</v>
      </c>
      <c r="F362" t="s">
        <v>419</v>
      </c>
      <c r="G362" t="s">
        <v>23</v>
      </c>
      <c r="H362" t="s">
        <v>54</v>
      </c>
      <c r="P362">
        <f>COUNTIFS(keyword_comparison[record_identifier],keyword_comparison[[#This Row],[record_identifier]],keyword_comparison[Review],"&lt;&gt;")</f>
        <v>0</v>
      </c>
      <c r="Q362" cm="1">
        <f t="array" ref="Q362">SUMPRODUCT((keyword_comparison[record_identifier]=keyword_comparison[[#This Row],[record_identifier]])*(LEN(keyword_comparison[keyword_matcher_output])&gt;0))</f>
        <v>1</v>
      </c>
    </row>
    <row r="363" spans="1:17" x14ac:dyDescent="0.25">
      <c r="A363" t="s">
        <v>416</v>
      </c>
      <c r="B363" t="s">
        <v>417</v>
      </c>
      <c r="C363" t="s">
        <v>418</v>
      </c>
      <c r="D363" t="s">
        <v>20</v>
      </c>
      <c r="E363" t="s">
        <v>21</v>
      </c>
      <c r="F363" t="s">
        <v>420</v>
      </c>
      <c r="G363" t="s">
        <v>23</v>
      </c>
      <c r="H363" t="s">
        <v>54</v>
      </c>
      <c r="P363">
        <f>COUNTIFS(keyword_comparison[record_identifier],keyword_comparison[[#This Row],[record_identifier]],keyword_comparison[Review],"&lt;&gt;")</f>
        <v>0</v>
      </c>
      <c r="Q363" cm="1">
        <f t="array" ref="Q363">SUMPRODUCT((keyword_comparison[record_identifier]=keyword_comparison[[#This Row],[record_identifier]])*(LEN(keyword_comparison[keyword_matcher_output])&gt;0))</f>
        <v>1</v>
      </c>
    </row>
    <row r="364" spans="1:17" x14ac:dyDescent="0.25">
      <c r="A364" t="s">
        <v>416</v>
      </c>
      <c r="B364" t="s">
        <v>417</v>
      </c>
      <c r="C364" t="s">
        <v>418</v>
      </c>
      <c r="D364" t="s">
        <v>20</v>
      </c>
      <c r="E364" t="s">
        <v>21</v>
      </c>
      <c r="F364" t="s">
        <v>421</v>
      </c>
      <c r="G364" t="s">
        <v>23</v>
      </c>
      <c r="H364" t="s">
        <v>422</v>
      </c>
      <c r="P364">
        <f>COUNTIFS(keyword_comparison[record_identifier],keyword_comparison[[#This Row],[record_identifier]],keyword_comparison[Review],"&lt;&gt;")</f>
        <v>0</v>
      </c>
      <c r="Q364" cm="1">
        <f t="array" ref="Q364">SUMPRODUCT((keyword_comparison[record_identifier]=keyword_comparison[[#This Row],[record_identifier]])*(LEN(keyword_comparison[keyword_matcher_output])&gt;0))</f>
        <v>1</v>
      </c>
    </row>
    <row r="365" spans="1:17" x14ac:dyDescent="0.25">
      <c r="A365" t="s">
        <v>416</v>
      </c>
      <c r="B365" t="s">
        <v>417</v>
      </c>
      <c r="C365" t="s">
        <v>418</v>
      </c>
      <c r="D365" t="s">
        <v>20</v>
      </c>
      <c r="E365" t="s">
        <v>21</v>
      </c>
      <c r="F365" t="s">
        <v>423</v>
      </c>
      <c r="G365" t="s">
        <v>23</v>
      </c>
      <c r="H365" t="s">
        <v>54</v>
      </c>
      <c r="P365">
        <f>COUNTIFS(keyword_comparison[record_identifier],keyword_comparison[[#This Row],[record_identifier]],keyword_comparison[Review],"&lt;&gt;")</f>
        <v>0</v>
      </c>
      <c r="Q365" cm="1">
        <f t="array" ref="Q365">SUMPRODUCT((keyword_comparison[record_identifier]=keyword_comparison[[#This Row],[record_identifier]])*(LEN(keyword_comparison[keyword_matcher_output])&gt;0))</f>
        <v>1</v>
      </c>
    </row>
    <row r="366" spans="1:17" x14ac:dyDescent="0.25">
      <c r="A366" t="s">
        <v>416</v>
      </c>
      <c r="B366" t="s">
        <v>417</v>
      </c>
      <c r="C366" t="s">
        <v>418</v>
      </c>
      <c r="D366" t="s">
        <v>20</v>
      </c>
      <c r="E366" t="s">
        <v>21</v>
      </c>
      <c r="F366" t="s">
        <v>424</v>
      </c>
      <c r="G366" t="s">
        <v>23</v>
      </c>
      <c r="H366" t="s">
        <v>54</v>
      </c>
      <c r="P366">
        <f>COUNTIFS(keyword_comparison[record_identifier],keyword_comparison[[#This Row],[record_identifier]],keyword_comparison[Review],"&lt;&gt;")</f>
        <v>0</v>
      </c>
      <c r="Q366" cm="1">
        <f t="array" ref="Q366">SUMPRODUCT((keyword_comparison[record_identifier]=keyword_comparison[[#This Row],[record_identifier]])*(LEN(keyword_comparison[keyword_matcher_output])&gt;0))</f>
        <v>1</v>
      </c>
    </row>
    <row r="367" spans="1:17" x14ac:dyDescent="0.25">
      <c r="A367" t="s">
        <v>416</v>
      </c>
      <c r="B367" t="s">
        <v>417</v>
      </c>
      <c r="C367" t="s">
        <v>418</v>
      </c>
      <c r="D367" t="s">
        <v>20</v>
      </c>
      <c r="E367" t="s">
        <v>21</v>
      </c>
      <c r="F367" t="s">
        <v>425</v>
      </c>
      <c r="G367" t="s">
        <v>23</v>
      </c>
      <c r="H367" t="s">
        <v>54</v>
      </c>
      <c r="P367">
        <f>COUNTIFS(keyword_comparison[record_identifier],keyword_comparison[[#This Row],[record_identifier]],keyword_comparison[Review],"&lt;&gt;")</f>
        <v>0</v>
      </c>
      <c r="Q367" cm="1">
        <f t="array" ref="Q367">SUMPRODUCT((keyword_comparison[record_identifier]=keyword_comparison[[#This Row],[record_identifier]])*(LEN(keyword_comparison[keyword_matcher_output])&gt;0))</f>
        <v>1</v>
      </c>
    </row>
    <row r="368" spans="1:17" x14ac:dyDescent="0.25">
      <c r="A368" t="s">
        <v>416</v>
      </c>
      <c r="B368" t="s">
        <v>417</v>
      </c>
      <c r="C368" t="s">
        <v>418</v>
      </c>
      <c r="D368" t="s">
        <v>20</v>
      </c>
      <c r="E368" t="s">
        <v>21</v>
      </c>
      <c r="F368" t="s">
        <v>292</v>
      </c>
      <c r="G368" t="s">
        <v>72</v>
      </c>
      <c r="H368" t="s">
        <v>54</v>
      </c>
      <c r="P368">
        <f>COUNTIFS(keyword_comparison[record_identifier],keyword_comparison[[#This Row],[record_identifier]],keyword_comparison[Review],"&lt;&gt;")</f>
        <v>0</v>
      </c>
      <c r="Q368" cm="1">
        <f t="array" ref="Q368">SUMPRODUCT((keyword_comparison[record_identifier]=keyword_comparison[[#This Row],[record_identifier]])*(LEN(keyword_comparison[keyword_matcher_output])&gt;0))</f>
        <v>1</v>
      </c>
    </row>
    <row r="369" spans="1:17" x14ac:dyDescent="0.25">
      <c r="A369" t="s">
        <v>416</v>
      </c>
      <c r="B369" t="s">
        <v>417</v>
      </c>
      <c r="C369" t="s">
        <v>418</v>
      </c>
      <c r="D369" t="s">
        <v>20</v>
      </c>
      <c r="E369" t="s">
        <v>21</v>
      </c>
      <c r="F369" t="s">
        <v>71</v>
      </c>
      <c r="G369" t="s">
        <v>72</v>
      </c>
      <c r="H369" t="s">
        <v>54</v>
      </c>
      <c r="P369">
        <f>COUNTIFS(keyword_comparison[record_identifier],keyword_comparison[[#This Row],[record_identifier]],keyword_comparison[Review],"&lt;&gt;")</f>
        <v>0</v>
      </c>
      <c r="Q369" cm="1">
        <f t="array" ref="Q369">SUMPRODUCT((keyword_comparison[record_identifier]=keyword_comparison[[#This Row],[record_identifier]])*(LEN(keyword_comparison[keyword_matcher_output])&gt;0))</f>
        <v>1</v>
      </c>
    </row>
    <row r="370" spans="1:17" x14ac:dyDescent="0.25">
      <c r="A370" t="s">
        <v>416</v>
      </c>
      <c r="B370" t="s">
        <v>417</v>
      </c>
      <c r="C370" t="s">
        <v>418</v>
      </c>
      <c r="D370" t="s">
        <v>20</v>
      </c>
      <c r="E370" t="s">
        <v>21</v>
      </c>
      <c r="F370" t="s">
        <v>216</v>
      </c>
      <c r="G370" t="s">
        <v>72</v>
      </c>
      <c r="H370" t="s">
        <v>54</v>
      </c>
      <c r="P370">
        <f>COUNTIFS(keyword_comparison[record_identifier],keyword_comparison[[#This Row],[record_identifier]],keyword_comparison[Review],"&lt;&gt;")</f>
        <v>0</v>
      </c>
      <c r="Q370" cm="1">
        <f t="array" ref="Q370">SUMPRODUCT((keyword_comparison[record_identifier]=keyword_comparison[[#This Row],[record_identifier]])*(LEN(keyword_comparison[keyword_matcher_output])&gt;0))</f>
        <v>1</v>
      </c>
    </row>
    <row r="371" spans="1:17" x14ac:dyDescent="0.25">
      <c r="A371" t="s">
        <v>416</v>
      </c>
      <c r="B371" t="s">
        <v>417</v>
      </c>
      <c r="C371" t="s">
        <v>418</v>
      </c>
      <c r="D371" t="s">
        <v>20</v>
      </c>
      <c r="E371" t="s">
        <v>21</v>
      </c>
      <c r="F371" t="s">
        <v>394</v>
      </c>
      <c r="G371" t="s">
        <v>31</v>
      </c>
      <c r="H371" t="s">
        <v>54</v>
      </c>
      <c r="P371">
        <f>COUNTIFS(keyword_comparison[record_identifier],keyword_comparison[[#This Row],[record_identifier]],keyword_comparison[Review],"&lt;&gt;")</f>
        <v>0</v>
      </c>
      <c r="Q371" cm="1">
        <f t="array" ref="Q371">SUMPRODUCT((keyword_comparison[record_identifier]=keyword_comparison[[#This Row],[record_identifier]])*(LEN(keyword_comparison[keyword_matcher_output])&gt;0))</f>
        <v>1</v>
      </c>
    </row>
    <row r="372" spans="1:17" x14ac:dyDescent="0.25">
      <c r="A372" t="s">
        <v>416</v>
      </c>
      <c r="B372" t="s">
        <v>417</v>
      </c>
      <c r="C372" t="s">
        <v>418</v>
      </c>
      <c r="D372" t="s">
        <v>20</v>
      </c>
      <c r="E372" t="s">
        <v>21</v>
      </c>
      <c r="F372" t="s">
        <v>30</v>
      </c>
      <c r="G372" t="s">
        <v>31</v>
      </c>
      <c r="H372" t="s">
        <v>54</v>
      </c>
      <c r="P372">
        <f>COUNTIFS(keyword_comparison[record_identifier],keyword_comparison[[#This Row],[record_identifier]],keyword_comparison[Review],"&lt;&gt;")</f>
        <v>0</v>
      </c>
      <c r="Q372" cm="1">
        <f t="array" ref="Q372">SUMPRODUCT((keyword_comparison[record_identifier]=keyword_comparison[[#This Row],[record_identifier]])*(LEN(keyword_comparison[keyword_matcher_output])&gt;0))</f>
        <v>1</v>
      </c>
    </row>
    <row r="373" spans="1:17" x14ac:dyDescent="0.25">
      <c r="A373" t="s">
        <v>416</v>
      </c>
      <c r="B373" t="s">
        <v>417</v>
      </c>
      <c r="C373" t="s">
        <v>418</v>
      </c>
      <c r="D373" t="s">
        <v>20</v>
      </c>
      <c r="E373" t="s">
        <v>21</v>
      </c>
      <c r="F373" t="s">
        <v>426</v>
      </c>
      <c r="G373" t="s">
        <v>31</v>
      </c>
      <c r="H373" t="s">
        <v>54</v>
      </c>
      <c r="P373">
        <f>COUNTIFS(keyword_comparison[record_identifier],keyword_comparison[[#This Row],[record_identifier]],keyword_comparison[Review],"&lt;&gt;")</f>
        <v>0</v>
      </c>
      <c r="Q373" cm="1">
        <f t="array" ref="Q373">SUMPRODUCT((keyword_comparison[record_identifier]=keyword_comparison[[#This Row],[record_identifier]])*(LEN(keyword_comparison[keyword_matcher_output])&gt;0))</f>
        <v>1</v>
      </c>
    </row>
    <row r="374" spans="1:17" x14ac:dyDescent="0.25">
      <c r="A374" t="s">
        <v>416</v>
      </c>
      <c r="B374" t="s">
        <v>417</v>
      </c>
      <c r="C374" t="s">
        <v>418</v>
      </c>
      <c r="D374" t="s">
        <v>20</v>
      </c>
      <c r="E374" t="s">
        <v>33</v>
      </c>
      <c r="H374" t="s">
        <v>54</v>
      </c>
      <c r="J374" t="s">
        <v>427</v>
      </c>
      <c r="K374" t="s">
        <v>428</v>
      </c>
      <c r="M374">
        <v>0.85450000000000004</v>
      </c>
      <c r="N374">
        <v>1</v>
      </c>
      <c r="P374">
        <f>COUNTIFS(keyword_comparison[record_identifier],keyword_comparison[[#This Row],[record_identifier]],keyword_comparison[Review],"&lt;&gt;")</f>
        <v>0</v>
      </c>
      <c r="Q374" cm="1">
        <f t="array" ref="Q374">SUMPRODUCT((keyword_comparison[record_identifier]=keyword_comparison[[#This Row],[record_identifier]])*(LEN(keyword_comparison[keyword_matcher_output])&gt;0))</f>
        <v>1</v>
      </c>
    </row>
    <row r="375" spans="1:17" x14ac:dyDescent="0.25">
      <c r="A375" t="s">
        <v>416</v>
      </c>
      <c r="B375" t="s">
        <v>417</v>
      </c>
      <c r="C375" t="s">
        <v>418</v>
      </c>
      <c r="D375" t="s">
        <v>20</v>
      </c>
      <c r="E375" t="s">
        <v>33</v>
      </c>
      <c r="H375" t="s">
        <v>54</v>
      </c>
      <c r="J375" t="s">
        <v>429</v>
      </c>
      <c r="K375" t="s">
        <v>430</v>
      </c>
      <c r="M375">
        <v>0.80220000000000002</v>
      </c>
      <c r="N375">
        <v>2</v>
      </c>
      <c r="P375">
        <f>COUNTIFS(keyword_comparison[record_identifier],keyword_comparison[[#This Row],[record_identifier]],keyword_comparison[Review],"&lt;&gt;")</f>
        <v>0</v>
      </c>
      <c r="Q375" cm="1">
        <f t="array" ref="Q375">SUMPRODUCT((keyword_comparison[record_identifier]=keyword_comparison[[#This Row],[record_identifier]])*(LEN(keyword_comparison[keyword_matcher_output])&gt;0))</f>
        <v>1</v>
      </c>
    </row>
    <row r="376" spans="1:17" x14ac:dyDescent="0.25">
      <c r="A376" t="s">
        <v>416</v>
      </c>
      <c r="B376" t="s">
        <v>417</v>
      </c>
      <c r="C376" t="s">
        <v>418</v>
      </c>
      <c r="D376" t="s">
        <v>20</v>
      </c>
      <c r="E376" t="s">
        <v>33</v>
      </c>
      <c r="H376" t="s">
        <v>54</v>
      </c>
      <c r="J376" t="s">
        <v>431</v>
      </c>
      <c r="K376" t="s">
        <v>432</v>
      </c>
      <c r="M376">
        <v>0.67079999999999995</v>
      </c>
      <c r="N376">
        <v>3</v>
      </c>
      <c r="P376">
        <f>COUNTIFS(keyword_comparison[record_identifier],keyword_comparison[[#This Row],[record_identifier]],keyword_comparison[Review],"&lt;&gt;")</f>
        <v>0</v>
      </c>
      <c r="Q376" cm="1">
        <f t="array" ref="Q376">SUMPRODUCT((keyword_comparison[record_identifier]=keyword_comparison[[#This Row],[record_identifier]])*(LEN(keyword_comparison[keyword_matcher_output])&gt;0))</f>
        <v>1</v>
      </c>
    </row>
    <row r="377" spans="1:17" x14ac:dyDescent="0.25">
      <c r="A377" t="s">
        <v>416</v>
      </c>
      <c r="B377" t="s">
        <v>417</v>
      </c>
      <c r="C377" t="s">
        <v>418</v>
      </c>
      <c r="D377" t="s">
        <v>20</v>
      </c>
      <c r="E377" t="s">
        <v>33</v>
      </c>
      <c r="H377" t="s">
        <v>54</v>
      </c>
      <c r="J377" t="s">
        <v>193</v>
      </c>
      <c r="K377" t="s">
        <v>194</v>
      </c>
      <c r="M377">
        <v>0.56389999999999996</v>
      </c>
      <c r="N377">
        <v>4</v>
      </c>
      <c r="P377">
        <f>COUNTIFS(keyword_comparison[record_identifier],keyword_comparison[[#This Row],[record_identifier]],keyword_comparison[Review],"&lt;&gt;")</f>
        <v>0</v>
      </c>
      <c r="Q377" cm="1">
        <f t="array" ref="Q377">SUMPRODUCT((keyword_comparison[record_identifier]=keyword_comparison[[#This Row],[record_identifier]])*(LEN(keyword_comparison[keyword_matcher_output])&gt;0))</f>
        <v>1</v>
      </c>
    </row>
    <row r="378" spans="1:17" x14ac:dyDescent="0.25">
      <c r="A378" t="s">
        <v>416</v>
      </c>
      <c r="B378" t="s">
        <v>417</v>
      </c>
      <c r="C378" t="s">
        <v>418</v>
      </c>
      <c r="D378" t="s">
        <v>20</v>
      </c>
      <c r="E378" t="s">
        <v>33</v>
      </c>
      <c r="H378" t="s">
        <v>54</v>
      </c>
      <c r="J378" t="s">
        <v>433</v>
      </c>
      <c r="K378" t="s">
        <v>434</v>
      </c>
      <c r="M378">
        <v>0.47399999999999998</v>
      </c>
      <c r="N378">
        <v>5</v>
      </c>
      <c r="P378">
        <f>COUNTIFS(keyword_comparison[record_identifier],keyword_comparison[[#This Row],[record_identifier]],keyword_comparison[Review],"&lt;&gt;")</f>
        <v>0</v>
      </c>
      <c r="Q378" cm="1">
        <f t="array" ref="Q378">SUMPRODUCT((keyword_comparison[record_identifier]=keyword_comparison[[#This Row],[record_identifier]])*(LEN(keyword_comparison[keyword_matcher_output])&gt;0))</f>
        <v>1</v>
      </c>
    </row>
    <row r="379" spans="1:17" x14ac:dyDescent="0.25">
      <c r="A379" t="s">
        <v>416</v>
      </c>
      <c r="B379" t="s">
        <v>417</v>
      </c>
      <c r="C379" t="s">
        <v>418</v>
      </c>
      <c r="D379" t="s">
        <v>20</v>
      </c>
      <c r="E379" t="s">
        <v>33</v>
      </c>
      <c r="H379" t="s">
        <v>54</v>
      </c>
      <c r="J379" t="s">
        <v>435</v>
      </c>
      <c r="K379" t="s">
        <v>436</v>
      </c>
      <c r="M379">
        <v>0.22420000000000001</v>
      </c>
      <c r="N379">
        <v>6</v>
      </c>
      <c r="P379">
        <f>COUNTIFS(keyword_comparison[record_identifier],keyword_comparison[[#This Row],[record_identifier]],keyword_comparison[Review],"&lt;&gt;")</f>
        <v>0</v>
      </c>
      <c r="Q379" cm="1">
        <f t="array" ref="Q379">SUMPRODUCT((keyword_comparison[record_identifier]=keyword_comparison[[#This Row],[record_identifier]])*(LEN(keyword_comparison[keyword_matcher_output])&gt;0))</f>
        <v>1</v>
      </c>
    </row>
    <row r="380" spans="1:17" x14ac:dyDescent="0.25">
      <c r="A380" t="s">
        <v>416</v>
      </c>
      <c r="B380" t="s">
        <v>417</v>
      </c>
      <c r="C380" t="s">
        <v>418</v>
      </c>
      <c r="D380" t="s">
        <v>20</v>
      </c>
      <c r="E380" t="s">
        <v>33</v>
      </c>
      <c r="H380" t="s">
        <v>54</v>
      </c>
      <c r="J380" t="s">
        <v>437</v>
      </c>
      <c r="K380" t="s">
        <v>438</v>
      </c>
      <c r="M380">
        <v>9.2200000000000004E-2</v>
      </c>
      <c r="N380">
        <v>7</v>
      </c>
      <c r="P380">
        <f>COUNTIFS(keyword_comparison[record_identifier],keyword_comparison[[#This Row],[record_identifier]],keyword_comparison[Review],"&lt;&gt;")</f>
        <v>0</v>
      </c>
      <c r="Q380" cm="1">
        <f t="array" ref="Q380">SUMPRODUCT((keyword_comparison[record_identifier]=keyword_comparison[[#This Row],[record_identifier]])*(LEN(keyword_comparison[keyword_matcher_output])&gt;0))</f>
        <v>1</v>
      </c>
    </row>
    <row r="381" spans="1:17" x14ac:dyDescent="0.25">
      <c r="A381" t="s">
        <v>416</v>
      </c>
      <c r="B381" t="s">
        <v>417</v>
      </c>
      <c r="C381" t="s">
        <v>418</v>
      </c>
      <c r="D381" t="s">
        <v>20</v>
      </c>
      <c r="E381" t="s">
        <v>33</v>
      </c>
      <c r="H381" t="s">
        <v>54</v>
      </c>
      <c r="J381" t="s">
        <v>439</v>
      </c>
      <c r="K381" t="s">
        <v>440</v>
      </c>
      <c r="M381">
        <v>6.4299999999999996E-2</v>
      </c>
      <c r="N381">
        <v>8</v>
      </c>
      <c r="P381">
        <f>COUNTIFS(keyword_comparison[record_identifier],keyword_comparison[[#This Row],[record_identifier]],keyword_comparison[Review],"&lt;&gt;")</f>
        <v>0</v>
      </c>
      <c r="Q381" cm="1">
        <f t="array" ref="Q381">SUMPRODUCT((keyword_comparison[record_identifier]=keyword_comparison[[#This Row],[record_identifier]])*(LEN(keyword_comparison[keyword_matcher_output])&gt;0))</f>
        <v>1</v>
      </c>
    </row>
    <row r="382" spans="1:17" x14ac:dyDescent="0.25">
      <c r="A382" t="s">
        <v>416</v>
      </c>
      <c r="B382" t="s">
        <v>417</v>
      </c>
      <c r="C382" t="s">
        <v>418</v>
      </c>
      <c r="D382" t="s">
        <v>20</v>
      </c>
      <c r="E382" t="s">
        <v>48</v>
      </c>
      <c r="H382" t="s">
        <v>54</v>
      </c>
      <c r="J382" t="s">
        <v>427</v>
      </c>
      <c r="K382" t="s">
        <v>428</v>
      </c>
      <c r="P382">
        <f>COUNTIFS(keyword_comparison[record_identifier],keyword_comparison[[#This Row],[record_identifier]],keyword_comparison[Review],"&lt;&gt;")</f>
        <v>0</v>
      </c>
      <c r="Q382" cm="1">
        <f t="array" ref="Q382">SUMPRODUCT((keyword_comparison[record_identifier]=keyword_comparison[[#This Row],[record_identifier]])*(LEN(keyword_comparison[keyword_matcher_output])&gt;0))</f>
        <v>1</v>
      </c>
    </row>
    <row r="383" spans="1:17" x14ac:dyDescent="0.25">
      <c r="A383" t="s">
        <v>416</v>
      </c>
      <c r="B383" t="s">
        <v>417</v>
      </c>
      <c r="C383" t="s">
        <v>418</v>
      </c>
      <c r="D383" t="s">
        <v>20</v>
      </c>
      <c r="E383" t="s">
        <v>48</v>
      </c>
      <c r="H383" t="s">
        <v>54</v>
      </c>
      <c r="J383" t="s">
        <v>441</v>
      </c>
      <c r="K383" t="s">
        <v>442</v>
      </c>
      <c r="P383">
        <f>COUNTIFS(keyword_comparison[record_identifier],keyword_comparison[[#This Row],[record_identifier]],keyword_comparison[Review],"&lt;&gt;")</f>
        <v>0</v>
      </c>
      <c r="Q383" cm="1">
        <f t="array" ref="Q383">SUMPRODUCT((keyword_comparison[record_identifier]=keyword_comparison[[#This Row],[record_identifier]])*(LEN(keyword_comparison[keyword_matcher_output])&gt;0))</f>
        <v>1</v>
      </c>
    </row>
    <row r="384" spans="1:17" x14ac:dyDescent="0.25">
      <c r="A384" t="s">
        <v>416</v>
      </c>
      <c r="B384" t="s">
        <v>417</v>
      </c>
      <c r="C384" t="s">
        <v>418</v>
      </c>
      <c r="D384" t="s">
        <v>20</v>
      </c>
      <c r="E384" t="s">
        <v>48</v>
      </c>
      <c r="H384" t="s">
        <v>54</v>
      </c>
      <c r="J384" t="s">
        <v>42</v>
      </c>
      <c r="K384" t="s">
        <v>43</v>
      </c>
      <c r="P384">
        <f>COUNTIFS(keyword_comparison[record_identifier],keyword_comparison[[#This Row],[record_identifier]],keyword_comparison[Review],"&lt;&gt;")</f>
        <v>0</v>
      </c>
      <c r="Q384" cm="1">
        <f t="array" ref="Q384">SUMPRODUCT((keyword_comparison[record_identifier]=keyword_comparison[[#This Row],[record_identifier]])*(LEN(keyword_comparison[keyword_matcher_output])&gt;0))</f>
        <v>1</v>
      </c>
    </row>
    <row r="385" spans="1:17" x14ac:dyDescent="0.25">
      <c r="A385" t="s">
        <v>416</v>
      </c>
      <c r="B385" t="s">
        <v>417</v>
      </c>
      <c r="C385" t="s">
        <v>418</v>
      </c>
      <c r="D385" t="s">
        <v>20</v>
      </c>
      <c r="E385" t="s">
        <v>48</v>
      </c>
      <c r="H385" t="s">
        <v>54</v>
      </c>
      <c r="J385" t="s">
        <v>84</v>
      </c>
      <c r="K385" t="s">
        <v>85</v>
      </c>
      <c r="P385">
        <f>COUNTIFS(keyword_comparison[record_identifier],keyword_comparison[[#This Row],[record_identifier]],keyword_comparison[Review],"&lt;&gt;")</f>
        <v>0</v>
      </c>
      <c r="Q385" cm="1">
        <f t="array" ref="Q385">SUMPRODUCT((keyword_comparison[record_identifier]=keyword_comparison[[#This Row],[record_identifier]])*(LEN(keyword_comparison[keyword_matcher_output])&gt;0))</f>
        <v>1</v>
      </c>
    </row>
    <row r="386" spans="1:17" x14ac:dyDescent="0.25">
      <c r="A386" t="s">
        <v>416</v>
      </c>
      <c r="B386" t="s">
        <v>417</v>
      </c>
      <c r="C386" t="s">
        <v>418</v>
      </c>
      <c r="D386" t="s">
        <v>20</v>
      </c>
      <c r="E386" t="s">
        <v>48</v>
      </c>
      <c r="H386" t="s">
        <v>54</v>
      </c>
      <c r="J386" t="s">
        <v>443</v>
      </c>
      <c r="K386" t="s">
        <v>444</v>
      </c>
      <c r="P386">
        <f>COUNTIFS(keyword_comparison[record_identifier],keyword_comparison[[#This Row],[record_identifier]],keyword_comparison[Review],"&lt;&gt;")</f>
        <v>0</v>
      </c>
      <c r="Q386" cm="1">
        <f t="array" ref="Q386">SUMPRODUCT((keyword_comparison[record_identifier]=keyword_comparison[[#This Row],[record_identifier]])*(LEN(keyword_comparison[keyword_matcher_output])&gt;0))</f>
        <v>1</v>
      </c>
    </row>
    <row r="387" spans="1:17" x14ac:dyDescent="0.25">
      <c r="A387" t="s">
        <v>416</v>
      </c>
      <c r="B387" t="s">
        <v>417</v>
      </c>
      <c r="C387" t="s">
        <v>418</v>
      </c>
      <c r="D387" t="s">
        <v>20</v>
      </c>
      <c r="E387" t="s">
        <v>48</v>
      </c>
      <c r="H387" t="s">
        <v>54</v>
      </c>
      <c r="J387" t="s">
        <v>195</v>
      </c>
      <c r="K387" t="s">
        <v>196</v>
      </c>
      <c r="P387">
        <f>COUNTIFS(keyword_comparison[record_identifier],keyword_comparison[[#This Row],[record_identifier]],keyword_comparison[Review],"&lt;&gt;")</f>
        <v>0</v>
      </c>
      <c r="Q387" cm="1">
        <f t="array" ref="Q387">SUMPRODUCT((keyword_comparison[record_identifier]=keyword_comparison[[#This Row],[record_identifier]])*(LEN(keyword_comparison[keyword_matcher_output])&gt;0))</f>
        <v>1</v>
      </c>
    </row>
    <row r="388" spans="1:17" x14ac:dyDescent="0.25">
      <c r="A388" t="s">
        <v>416</v>
      </c>
      <c r="B388" t="s">
        <v>417</v>
      </c>
      <c r="C388" t="s">
        <v>418</v>
      </c>
      <c r="D388" t="s">
        <v>20</v>
      </c>
      <c r="E388" t="s">
        <v>48</v>
      </c>
      <c r="H388" t="s">
        <v>54</v>
      </c>
      <c r="J388" t="s">
        <v>445</v>
      </c>
      <c r="K388" t="s">
        <v>446</v>
      </c>
      <c r="P388">
        <f>COUNTIFS(keyword_comparison[record_identifier],keyword_comparison[[#This Row],[record_identifier]],keyword_comparison[Review],"&lt;&gt;")</f>
        <v>0</v>
      </c>
      <c r="Q388" cm="1">
        <f t="array" ref="Q388">SUMPRODUCT((keyword_comparison[record_identifier]=keyword_comparison[[#This Row],[record_identifier]])*(LEN(keyword_comparison[keyword_matcher_output])&gt;0))</f>
        <v>1</v>
      </c>
    </row>
    <row r="389" spans="1:17" x14ac:dyDescent="0.25">
      <c r="A389" t="s">
        <v>416</v>
      </c>
      <c r="B389" t="s">
        <v>417</v>
      </c>
      <c r="C389" t="s">
        <v>418</v>
      </c>
      <c r="D389" t="s">
        <v>20</v>
      </c>
      <c r="E389" t="s">
        <v>53</v>
      </c>
      <c r="F389" t="s">
        <v>54</v>
      </c>
      <c r="G389" t="s">
        <v>54</v>
      </c>
      <c r="H389" t="s">
        <v>54</v>
      </c>
      <c r="J389" t="s">
        <v>443</v>
      </c>
      <c r="K389" t="s">
        <v>444</v>
      </c>
      <c r="O389">
        <v>1</v>
      </c>
      <c r="P389">
        <f>COUNTIFS(keyword_comparison[record_identifier],keyword_comparison[[#This Row],[record_identifier]],keyword_comparison[Review],"&lt;&gt;")</f>
        <v>0</v>
      </c>
      <c r="Q389" cm="1">
        <f t="array" ref="Q389">SUMPRODUCT((keyword_comparison[record_identifier]=keyword_comparison[[#This Row],[record_identifier]])*(LEN(keyword_comparison[keyword_matcher_output])&gt;0))</f>
        <v>1</v>
      </c>
    </row>
    <row r="390" spans="1:17" x14ac:dyDescent="0.25">
      <c r="A390" t="s">
        <v>416</v>
      </c>
      <c r="B390" t="s">
        <v>417</v>
      </c>
      <c r="C390" t="s">
        <v>418</v>
      </c>
      <c r="D390" t="s">
        <v>20</v>
      </c>
      <c r="E390" t="s">
        <v>53</v>
      </c>
      <c r="F390" t="s">
        <v>54</v>
      </c>
      <c r="G390" t="s">
        <v>54</v>
      </c>
      <c r="H390" t="s">
        <v>54</v>
      </c>
      <c r="J390" t="s">
        <v>427</v>
      </c>
      <c r="K390" t="s">
        <v>428</v>
      </c>
      <c r="O390">
        <v>2</v>
      </c>
      <c r="P390">
        <f>COUNTIFS(keyword_comparison[record_identifier],keyword_comparison[[#This Row],[record_identifier]],keyword_comparison[Review],"&lt;&gt;")</f>
        <v>0</v>
      </c>
      <c r="Q390" cm="1">
        <f t="array" ref="Q390">SUMPRODUCT((keyword_comparison[record_identifier]=keyword_comparison[[#This Row],[record_identifier]])*(LEN(keyword_comparison[keyword_matcher_output])&gt;0))</f>
        <v>1</v>
      </c>
    </row>
    <row r="391" spans="1:17" x14ac:dyDescent="0.25">
      <c r="A391" t="s">
        <v>416</v>
      </c>
      <c r="B391" t="s">
        <v>417</v>
      </c>
      <c r="C391" t="s">
        <v>418</v>
      </c>
      <c r="D391" t="s">
        <v>20</v>
      </c>
      <c r="E391" t="s">
        <v>53</v>
      </c>
      <c r="F391" t="s">
        <v>54</v>
      </c>
      <c r="G391" t="s">
        <v>54</v>
      </c>
      <c r="H391" t="s">
        <v>54</v>
      </c>
      <c r="J391" t="s">
        <v>42</v>
      </c>
      <c r="K391" t="s">
        <v>43</v>
      </c>
      <c r="O391">
        <v>3</v>
      </c>
      <c r="P391">
        <f>COUNTIFS(keyword_comparison[record_identifier],keyword_comparison[[#This Row],[record_identifier]],keyword_comparison[Review],"&lt;&gt;")</f>
        <v>0</v>
      </c>
      <c r="Q391" cm="1">
        <f t="array" ref="Q391">SUMPRODUCT((keyword_comparison[record_identifier]=keyword_comparison[[#This Row],[record_identifier]])*(LEN(keyword_comparison[keyword_matcher_output])&gt;0))</f>
        <v>1</v>
      </c>
    </row>
    <row r="392" spans="1:17" x14ac:dyDescent="0.25">
      <c r="A392" t="s">
        <v>416</v>
      </c>
      <c r="B392" t="s">
        <v>417</v>
      </c>
      <c r="C392" t="s">
        <v>418</v>
      </c>
      <c r="D392" t="s">
        <v>20</v>
      </c>
      <c r="E392" t="s">
        <v>53</v>
      </c>
      <c r="F392" t="s">
        <v>54</v>
      </c>
      <c r="G392" t="s">
        <v>54</v>
      </c>
      <c r="H392" t="s">
        <v>54</v>
      </c>
      <c r="J392" t="s">
        <v>445</v>
      </c>
      <c r="K392" t="s">
        <v>446</v>
      </c>
      <c r="O392">
        <v>4</v>
      </c>
      <c r="P392">
        <f>COUNTIFS(keyword_comparison[record_identifier],keyword_comparison[[#This Row],[record_identifier]],keyword_comparison[Review],"&lt;&gt;")</f>
        <v>0</v>
      </c>
      <c r="Q392" cm="1">
        <f t="array" ref="Q392">SUMPRODUCT((keyword_comparison[record_identifier]=keyword_comparison[[#This Row],[record_identifier]])*(LEN(keyword_comparison[keyword_matcher_output])&gt;0))</f>
        <v>1</v>
      </c>
    </row>
    <row r="393" spans="1:17" x14ac:dyDescent="0.25">
      <c r="A393" t="s">
        <v>416</v>
      </c>
      <c r="B393" t="s">
        <v>417</v>
      </c>
      <c r="C393" t="s">
        <v>418</v>
      </c>
      <c r="D393" t="s">
        <v>20</v>
      </c>
      <c r="E393" t="s">
        <v>53</v>
      </c>
      <c r="F393" t="s">
        <v>54</v>
      </c>
      <c r="G393" t="s">
        <v>54</v>
      </c>
      <c r="H393" t="s">
        <v>54</v>
      </c>
      <c r="J393" t="s">
        <v>195</v>
      </c>
      <c r="K393" t="s">
        <v>196</v>
      </c>
      <c r="O393">
        <v>5</v>
      </c>
      <c r="P393">
        <f>COUNTIFS(keyword_comparison[record_identifier],keyword_comparison[[#This Row],[record_identifier]],keyword_comparison[Review],"&lt;&gt;")</f>
        <v>0</v>
      </c>
      <c r="Q393" cm="1">
        <f t="array" ref="Q393">SUMPRODUCT((keyword_comparison[record_identifier]=keyword_comparison[[#This Row],[record_identifier]])*(LEN(keyword_comparison[keyword_matcher_output])&gt;0))</f>
        <v>1</v>
      </c>
    </row>
    <row r="394" spans="1:17" x14ac:dyDescent="0.25">
      <c r="A394" t="s">
        <v>416</v>
      </c>
      <c r="B394" t="s">
        <v>417</v>
      </c>
      <c r="C394" t="s">
        <v>418</v>
      </c>
      <c r="D394" t="s">
        <v>20</v>
      </c>
      <c r="E394" t="s">
        <v>53</v>
      </c>
      <c r="F394" t="s">
        <v>54</v>
      </c>
      <c r="G394" t="s">
        <v>54</v>
      </c>
      <c r="H394" t="s">
        <v>54</v>
      </c>
      <c r="J394" t="s">
        <v>55</v>
      </c>
      <c r="K394" t="s">
        <v>56</v>
      </c>
      <c r="O394">
        <v>6</v>
      </c>
      <c r="P394">
        <f>COUNTIFS(keyword_comparison[record_identifier],keyword_comparison[[#This Row],[record_identifier]],keyword_comparison[Review],"&lt;&gt;")</f>
        <v>0</v>
      </c>
      <c r="Q394" cm="1">
        <f t="array" ref="Q394">SUMPRODUCT((keyword_comparison[record_identifier]=keyword_comparison[[#This Row],[record_identifier]])*(LEN(keyword_comparison[keyword_matcher_output])&gt;0))</f>
        <v>1</v>
      </c>
    </row>
    <row r="395" spans="1:17" x14ac:dyDescent="0.25">
      <c r="A395" t="s">
        <v>416</v>
      </c>
      <c r="B395" t="s">
        <v>417</v>
      </c>
      <c r="C395" t="s">
        <v>418</v>
      </c>
      <c r="D395" t="s">
        <v>20</v>
      </c>
      <c r="E395" t="s">
        <v>53</v>
      </c>
      <c r="F395" t="s">
        <v>54</v>
      </c>
      <c r="G395" t="s">
        <v>54</v>
      </c>
      <c r="H395" t="s">
        <v>54</v>
      </c>
      <c r="J395" t="s">
        <v>447</v>
      </c>
      <c r="K395" t="s">
        <v>448</v>
      </c>
      <c r="O395">
        <v>7</v>
      </c>
      <c r="P395">
        <f>COUNTIFS(keyword_comparison[record_identifier],keyword_comparison[[#This Row],[record_identifier]],keyword_comparison[Review],"&lt;&gt;")</f>
        <v>0</v>
      </c>
      <c r="Q395" cm="1">
        <f t="array" ref="Q395">SUMPRODUCT((keyword_comparison[record_identifier]=keyword_comparison[[#This Row],[record_identifier]])*(LEN(keyword_comparison[keyword_matcher_output])&gt;0))</f>
        <v>1</v>
      </c>
    </row>
    <row r="396" spans="1:17" x14ac:dyDescent="0.25">
      <c r="A396" t="s">
        <v>416</v>
      </c>
      <c r="B396" t="s">
        <v>417</v>
      </c>
      <c r="C396" t="s">
        <v>418</v>
      </c>
      <c r="D396" t="s">
        <v>20</v>
      </c>
      <c r="E396" t="s">
        <v>53</v>
      </c>
      <c r="F396" t="s">
        <v>54</v>
      </c>
      <c r="G396" t="s">
        <v>54</v>
      </c>
      <c r="H396" t="s">
        <v>54</v>
      </c>
      <c r="J396" t="s">
        <v>449</v>
      </c>
      <c r="K396" t="s">
        <v>450</v>
      </c>
      <c r="O396">
        <v>8</v>
      </c>
      <c r="P396">
        <f>COUNTIFS(keyword_comparison[record_identifier],keyword_comparison[[#This Row],[record_identifier]],keyword_comparison[Review],"&lt;&gt;")</f>
        <v>0</v>
      </c>
      <c r="Q396" cm="1">
        <f t="array" ref="Q396">SUMPRODUCT((keyword_comparison[record_identifier]=keyword_comparison[[#This Row],[record_identifier]])*(LEN(keyword_comparison[keyword_matcher_output])&gt;0))</f>
        <v>1</v>
      </c>
    </row>
    <row r="397" spans="1:17" x14ac:dyDescent="0.25">
      <c r="A397" t="s">
        <v>416</v>
      </c>
      <c r="B397" t="s">
        <v>417</v>
      </c>
      <c r="C397" t="s">
        <v>418</v>
      </c>
      <c r="D397" t="s">
        <v>20</v>
      </c>
      <c r="E397" t="s">
        <v>53</v>
      </c>
      <c r="F397" t="s">
        <v>54</v>
      </c>
      <c r="G397" t="s">
        <v>54</v>
      </c>
      <c r="H397" t="s">
        <v>54</v>
      </c>
      <c r="J397" t="s">
        <v>451</v>
      </c>
      <c r="K397" t="s">
        <v>452</v>
      </c>
      <c r="O397">
        <v>9</v>
      </c>
      <c r="P397">
        <f>COUNTIFS(keyword_comparison[record_identifier],keyword_comparison[[#This Row],[record_identifier]],keyword_comparison[Review],"&lt;&gt;")</f>
        <v>0</v>
      </c>
      <c r="Q397" cm="1">
        <f t="array" ref="Q397">SUMPRODUCT((keyword_comparison[record_identifier]=keyword_comparison[[#This Row],[record_identifier]])*(LEN(keyword_comparison[keyword_matcher_output])&gt;0))</f>
        <v>1</v>
      </c>
    </row>
    <row r="398" spans="1:17" x14ac:dyDescent="0.25">
      <c r="A398" t="s">
        <v>416</v>
      </c>
      <c r="B398" t="s">
        <v>417</v>
      </c>
      <c r="C398" t="s">
        <v>418</v>
      </c>
      <c r="D398" t="s">
        <v>20</v>
      </c>
      <c r="E398" t="s">
        <v>53</v>
      </c>
      <c r="F398" t="s">
        <v>54</v>
      </c>
      <c r="G398" t="s">
        <v>54</v>
      </c>
      <c r="H398" t="s">
        <v>54</v>
      </c>
      <c r="J398" t="s">
        <v>142</v>
      </c>
      <c r="K398" t="s">
        <v>143</v>
      </c>
      <c r="O398">
        <v>10</v>
      </c>
      <c r="P398">
        <f>COUNTIFS(keyword_comparison[record_identifier],keyword_comparison[[#This Row],[record_identifier]],keyword_comparison[Review],"&lt;&gt;")</f>
        <v>0</v>
      </c>
      <c r="Q398" cm="1">
        <f t="array" ref="Q398">SUMPRODUCT((keyword_comparison[record_identifier]=keyword_comparison[[#This Row],[record_identifier]])*(LEN(keyword_comparison[keyword_matcher_output])&gt;0))</f>
        <v>1</v>
      </c>
    </row>
    <row r="399" spans="1:17" x14ac:dyDescent="0.25">
      <c r="A399" t="s">
        <v>453</v>
      </c>
      <c r="B399" t="s">
        <v>454</v>
      </c>
      <c r="C399" t="s">
        <v>455</v>
      </c>
      <c r="D399" t="s">
        <v>20</v>
      </c>
      <c r="E399" t="s">
        <v>21</v>
      </c>
      <c r="F399" t="s">
        <v>456</v>
      </c>
      <c r="G399" t="s">
        <v>457</v>
      </c>
      <c r="H399" t="s">
        <v>54</v>
      </c>
      <c r="P399">
        <f>COUNTIFS(keyword_comparison[record_identifier],keyword_comparison[[#This Row],[record_identifier]],keyword_comparison[Review],"&lt;&gt;")</f>
        <v>0</v>
      </c>
      <c r="Q399" cm="1">
        <f t="array" ref="Q399">SUMPRODUCT((keyword_comparison[record_identifier]=keyword_comparison[[#This Row],[record_identifier]])*(LEN(keyword_comparison[keyword_matcher_output])&gt;0))</f>
        <v>5</v>
      </c>
    </row>
    <row r="400" spans="1:17" x14ac:dyDescent="0.25">
      <c r="A400" t="s">
        <v>453</v>
      </c>
      <c r="B400" t="s">
        <v>454</v>
      </c>
      <c r="C400" t="s">
        <v>455</v>
      </c>
      <c r="D400" t="s">
        <v>20</v>
      </c>
      <c r="E400" t="s">
        <v>21</v>
      </c>
      <c r="F400" t="s">
        <v>458</v>
      </c>
      <c r="G400" t="s">
        <v>457</v>
      </c>
      <c r="H400" t="s">
        <v>54</v>
      </c>
      <c r="P400">
        <f>COUNTIFS(keyword_comparison[record_identifier],keyword_comparison[[#This Row],[record_identifier]],keyword_comparison[Review],"&lt;&gt;")</f>
        <v>0</v>
      </c>
      <c r="Q400" cm="1">
        <f t="array" ref="Q400">SUMPRODUCT((keyword_comparison[record_identifier]=keyword_comparison[[#This Row],[record_identifier]])*(LEN(keyword_comparison[keyword_matcher_output])&gt;0))</f>
        <v>5</v>
      </c>
    </row>
    <row r="401" spans="1:17" x14ac:dyDescent="0.25">
      <c r="A401" t="s">
        <v>453</v>
      </c>
      <c r="B401" t="s">
        <v>454</v>
      </c>
      <c r="C401" t="s">
        <v>455</v>
      </c>
      <c r="D401" t="s">
        <v>20</v>
      </c>
      <c r="E401" t="s">
        <v>21</v>
      </c>
      <c r="F401" t="s">
        <v>84</v>
      </c>
      <c r="G401" t="s">
        <v>457</v>
      </c>
      <c r="H401" t="s">
        <v>85</v>
      </c>
      <c r="P401">
        <f>COUNTIFS(keyword_comparison[record_identifier],keyword_comparison[[#This Row],[record_identifier]],keyword_comparison[Review],"&lt;&gt;")</f>
        <v>0</v>
      </c>
      <c r="Q401" cm="1">
        <f t="array" ref="Q401">SUMPRODUCT((keyword_comparison[record_identifier]=keyword_comparison[[#This Row],[record_identifier]])*(LEN(keyword_comparison[keyword_matcher_output])&gt;0))</f>
        <v>5</v>
      </c>
    </row>
    <row r="402" spans="1:17" x14ac:dyDescent="0.25">
      <c r="A402" t="s">
        <v>453</v>
      </c>
      <c r="B402" t="s">
        <v>454</v>
      </c>
      <c r="C402" t="s">
        <v>455</v>
      </c>
      <c r="D402" t="s">
        <v>20</v>
      </c>
      <c r="E402" t="s">
        <v>21</v>
      </c>
      <c r="F402" t="s">
        <v>459</v>
      </c>
      <c r="G402" t="s">
        <v>460</v>
      </c>
      <c r="H402" t="s">
        <v>54</v>
      </c>
      <c r="P402">
        <f>COUNTIFS(keyword_comparison[record_identifier],keyword_comparison[[#This Row],[record_identifier]],keyword_comparison[Review],"&lt;&gt;")</f>
        <v>0</v>
      </c>
      <c r="Q402" cm="1">
        <f t="array" ref="Q402">SUMPRODUCT((keyword_comparison[record_identifier]=keyword_comparison[[#This Row],[record_identifier]])*(LEN(keyword_comparison[keyword_matcher_output])&gt;0))</f>
        <v>5</v>
      </c>
    </row>
    <row r="403" spans="1:17" x14ac:dyDescent="0.25">
      <c r="A403" t="s">
        <v>453</v>
      </c>
      <c r="B403" t="s">
        <v>454</v>
      </c>
      <c r="C403" t="s">
        <v>455</v>
      </c>
      <c r="D403" t="s">
        <v>20</v>
      </c>
      <c r="E403" t="s">
        <v>21</v>
      </c>
      <c r="F403" t="s">
        <v>461</v>
      </c>
      <c r="G403" t="s">
        <v>460</v>
      </c>
      <c r="H403" t="s">
        <v>54</v>
      </c>
      <c r="P403">
        <f>COUNTIFS(keyword_comparison[record_identifier],keyword_comparison[[#This Row],[record_identifier]],keyword_comparison[Review],"&lt;&gt;")</f>
        <v>0</v>
      </c>
      <c r="Q403" cm="1">
        <f t="array" ref="Q403">SUMPRODUCT((keyword_comparison[record_identifier]=keyword_comparison[[#This Row],[record_identifier]])*(LEN(keyword_comparison[keyword_matcher_output])&gt;0))</f>
        <v>5</v>
      </c>
    </row>
    <row r="404" spans="1:17" x14ac:dyDescent="0.25">
      <c r="A404" t="s">
        <v>453</v>
      </c>
      <c r="B404" t="s">
        <v>454</v>
      </c>
      <c r="C404" t="s">
        <v>455</v>
      </c>
      <c r="D404" t="s">
        <v>20</v>
      </c>
      <c r="E404" t="s">
        <v>21</v>
      </c>
      <c r="F404" t="s">
        <v>462</v>
      </c>
      <c r="G404" t="s">
        <v>460</v>
      </c>
      <c r="H404" t="s">
        <v>54</v>
      </c>
      <c r="P404">
        <f>COUNTIFS(keyword_comparison[record_identifier],keyword_comparison[[#This Row],[record_identifier]],keyword_comparison[Review],"&lt;&gt;")</f>
        <v>0</v>
      </c>
      <c r="Q404" cm="1">
        <f t="array" ref="Q404">SUMPRODUCT((keyword_comparison[record_identifier]=keyword_comparison[[#This Row],[record_identifier]])*(LEN(keyword_comparison[keyword_matcher_output])&gt;0))</f>
        <v>5</v>
      </c>
    </row>
    <row r="405" spans="1:17" x14ac:dyDescent="0.25">
      <c r="A405" t="s">
        <v>453</v>
      </c>
      <c r="B405" t="s">
        <v>454</v>
      </c>
      <c r="C405" t="s">
        <v>455</v>
      </c>
      <c r="D405" t="s">
        <v>20</v>
      </c>
      <c r="E405" t="s">
        <v>21</v>
      </c>
      <c r="F405" t="s">
        <v>463</v>
      </c>
      <c r="G405" t="s">
        <v>460</v>
      </c>
      <c r="H405" t="s">
        <v>54</v>
      </c>
      <c r="P405">
        <f>COUNTIFS(keyword_comparison[record_identifier],keyword_comparison[[#This Row],[record_identifier]],keyword_comparison[Review],"&lt;&gt;")</f>
        <v>0</v>
      </c>
      <c r="Q405" cm="1">
        <f t="array" ref="Q405">SUMPRODUCT((keyword_comparison[record_identifier]=keyword_comparison[[#This Row],[record_identifier]])*(LEN(keyword_comparison[keyword_matcher_output])&gt;0))</f>
        <v>5</v>
      </c>
    </row>
    <row r="406" spans="1:17" x14ac:dyDescent="0.25">
      <c r="A406" t="s">
        <v>453</v>
      </c>
      <c r="B406" t="s">
        <v>454</v>
      </c>
      <c r="C406" t="s">
        <v>455</v>
      </c>
      <c r="D406" t="s">
        <v>20</v>
      </c>
      <c r="E406" t="s">
        <v>21</v>
      </c>
      <c r="F406" t="s">
        <v>464</v>
      </c>
      <c r="G406" t="s">
        <v>465</v>
      </c>
      <c r="H406" t="s">
        <v>85</v>
      </c>
      <c r="P406">
        <f>COUNTIFS(keyword_comparison[record_identifier],keyword_comparison[[#This Row],[record_identifier]],keyword_comparison[Review],"&lt;&gt;")</f>
        <v>0</v>
      </c>
      <c r="Q406" cm="1">
        <f t="array" ref="Q406">SUMPRODUCT((keyword_comparison[record_identifier]=keyword_comparison[[#This Row],[record_identifier]])*(LEN(keyword_comparison[keyword_matcher_output])&gt;0))</f>
        <v>5</v>
      </c>
    </row>
    <row r="407" spans="1:17" x14ac:dyDescent="0.25">
      <c r="A407" t="s">
        <v>453</v>
      </c>
      <c r="B407" t="s">
        <v>454</v>
      </c>
      <c r="C407" t="s">
        <v>455</v>
      </c>
      <c r="D407" t="s">
        <v>20</v>
      </c>
      <c r="E407" t="s">
        <v>21</v>
      </c>
      <c r="F407" t="s">
        <v>466</v>
      </c>
      <c r="G407" t="s">
        <v>460</v>
      </c>
      <c r="H407" t="s">
        <v>54</v>
      </c>
      <c r="P407">
        <f>COUNTIFS(keyword_comparison[record_identifier],keyword_comparison[[#This Row],[record_identifier]],keyword_comparison[Review],"&lt;&gt;")</f>
        <v>0</v>
      </c>
      <c r="Q407" cm="1">
        <f t="array" ref="Q407">SUMPRODUCT((keyword_comparison[record_identifier]=keyword_comparison[[#This Row],[record_identifier]])*(LEN(keyword_comparison[keyword_matcher_output])&gt;0))</f>
        <v>5</v>
      </c>
    </row>
    <row r="408" spans="1:17" x14ac:dyDescent="0.25">
      <c r="A408" t="s">
        <v>453</v>
      </c>
      <c r="B408" t="s">
        <v>454</v>
      </c>
      <c r="C408" t="s">
        <v>455</v>
      </c>
      <c r="D408" t="s">
        <v>20</v>
      </c>
      <c r="E408" t="s">
        <v>21</v>
      </c>
      <c r="F408" t="s">
        <v>467</v>
      </c>
      <c r="G408" t="s">
        <v>460</v>
      </c>
      <c r="H408" t="s">
        <v>54</v>
      </c>
      <c r="P408">
        <f>COUNTIFS(keyword_comparison[record_identifier],keyword_comparison[[#This Row],[record_identifier]],keyword_comparison[Review],"&lt;&gt;")</f>
        <v>0</v>
      </c>
      <c r="Q408" cm="1">
        <f t="array" ref="Q408">SUMPRODUCT((keyword_comparison[record_identifier]=keyword_comparison[[#This Row],[record_identifier]])*(LEN(keyword_comparison[keyword_matcher_output])&gt;0))</f>
        <v>5</v>
      </c>
    </row>
    <row r="409" spans="1:17" x14ac:dyDescent="0.25">
      <c r="A409" t="s">
        <v>453</v>
      </c>
      <c r="B409" t="s">
        <v>454</v>
      </c>
      <c r="C409" t="s">
        <v>455</v>
      </c>
      <c r="D409" t="s">
        <v>20</v>
      </c>
      <c r="E409" t="s">
        <v>21</v>
      </c>
      <c r="F409" t="s">
        <v>468</v>
      </c>
      <c r="G409" t="s">
        <v>460</v>
      </c>
      <c r="H409" t="s">
        <v>54</v>
      </c>
      <c r="P409">
        <f>COUNTIFS(keyword_comparison[record_identifier],keyword_comparison[[#This Row],[record_identifier]],keyword_comparison[Review],"&lt;&gt;")</f>
        <v>0</v>
      </c>
      <c r="Q409" cm="1">
        <f t="array" ref="Q409">SUMPRODUCT((keyword_comparison[record_identifier]=keyword_comparison[[#This Row],[record_identifier]])*(LEN(keyword_comparison[keyword_matcher_output])&gt;0))</f>
        <v>5</v>
      </c>
    </row>
    <row r="410" spans="1:17" x14ac:dyDescent="0.25">
      <c r="A410" t="s">
        <v>453</v>
      </c>
      <c r="B410" t="s">
        <v>454</v>
      </c>
      <c r="C410" t="s">
        <v>455</v>
      </c>
      <c r="D410" t="s">
        <v>20</v>
      </c>
      <c r="E410" t="s">
        <v>21</v>
      </c>
      <c r="F410" t="s">
        <v>469</v>
      </c>
      <c r="G410" t="s">
        <v>457</v>
      </c>
      <c r="H410" s="4" t="s">
        <v>470</v>
      </c>
      <c r="I410" s="4"/>
      <c r="P410">
        <f>COUNTIFS(keyword_comparison[record_identifier],keyword_comparison[[#This Row],[record_identifier]],keyword_comparison[Review],"&lt;&gt;")</f>
        <v>0</v>
      </c>
      <c r="Q410" cm="1">
        <f t="array" ref="Q410">SUMPRODUCT((keyword_comparison[record_identifier]=keyword_comparison[[#This Row],[record_identifier]])*(LEN(keyword_comparison[keyword_matcher_output])&gt;0))</f>
        <v>5</v>
      </c>
    </row>
    <row r="411" spans="1:17" x14ac:dyDescent="0.25">
      <c r="A411" t="s">
        <v>453</v>
      </c>
      <c r="B411" t="s">
        <v>454</v>
      </c>
      <c r="C411" t="s">
        <v>455</v>
      </c>
      <c r="D411" t="s">
        <v>20</v>
      </c>
      <c r="E411" t="s">
        <v>21</v>
      </c>
      <c r="F411" t="s">
        <v>471</v>
      </c>
      <c r="G411" t="s">
        <v>457</v>
      </c>
      <c r="H411" t="s">
        <v>106</v>
      </c>
      <c r="P411">
        <f>COUNTIFS(keyword_comparison[record_identifier],keyword_comparison[[#This Row],[record_identifier]],keyword_comparison[Review],"&lt;&gt;")</f>
        <v>0</v>
      </c>
      <c r="Q411" cm="1">
        <f t="array" ref="Q411">SUMPRODUCT((keyword_comparison[record_identifier]=keyword_comparison[[#This Row],[record_identifier]])*(LEN(keyword_comparison[keyword_matcher_output])&gt;0))</f>
        <v>5</v>
      </c>
    </row>
    <row r="412" spans="1:17" x14ac:dyDescent="0.25">
      <c r="A412" t="s">
        <v>453</v>
      </c>
      <c r="B412" t="s">
        <v>454</v>
      </c>
      <c r="C412" t="s">
        <v>455</v>
      </c>
      <c r="D412" t="s">
        <v>20</v>
      </c>
      <c r="E412" t="s">
        <v>21</v>
      </c>
      <c r="F412" t="s">
        <v>472</v>
      </c>
      <c r="G412" t="s">
        <v>457</v>
      </c>
      <c r="H412" t="s">
        <v>137</v>
      </c>
      <c r="P412">
        <f>COUNTIFS(keyword_comparison[record_identifier],keyword_comparison[[#This Row],[record_identifier]],keyword_comparison[Review],"&lt;&gt;")</f>
        <v>0</v>
      </c>
      <c r="Q412" cm="1">
        <f t="array" ref="Q412">SUMPRODUCT((keyword_comparison[record_identifier]=keyword_comparison[[#This Row],[record_identifier]])*(LEN(keyword_comparison[keyword_matcher_output])&gt;0))</f>
        <v>5</v>
      </c>
    </row>
    <row r="413" spans="1:17" x14ac:dyDescent="0.25">
      <c r="A413" t="s">
        <v>453</v>
      </c>
      <c r="B413" t="s">
        <v>454</v>
      </c>
      <c r="C413" t="s">
        <v>455</v>
      </c>
      <c r="D413" t="s">
        <v>20</v>
      </c>
      <c r="E413" t="s">
        <v>33</v>
      </c>
      <c r="H413" t="s">
        <v>54</v>
      </c>
      <c r="J413" t="s">
        <v>473</v>
      </c>
      <c r="K413" t="s">
        <v>474</v>
      </c>
      <c r="M413">
        <v>0.88880000000000003</v>
      </c>
      <c r="N413">
        <v>1</v>
      </c>
      <c r="P413">
        <f>COUNTIFS(keyword_comparison[record_identifier],keyword_comparison[[#This Row],[record_identifier]],keyword_comparison[Review],"&lt;&gt;")</f>
        <v>0</v>
      </c>
      <c r="Q413" cm="1">
        <f t="array" ref="Q413">SUMPRODUCT((keyword_comparison[record_identifier]=keyword_comparison[[#This Row],[record_identifier]])*(LEN(keyword_comparison[keyword_matcher_output])&gt;0))</f>
        <v>5</v>
      </c>
    </row>
    <row r="414" spans="1:17" x14ac:dyDescent="0.25">
      <c r="A414" t="s">
        <v>453</v>
      </c>
      <c r="B414" t="s">
        <v>454</v>
      </c>
      <c r="C414" t="s">
        <v>455</v>
      </c>
      <c r="D414" t="s">
        <v>20</v>
      </c>
      <c r="E414" t="s">
        <v>33</v>
      </c>
      <c r="H414" t="s">
        <v>54</v>
      </c>
      <c r="J414" t="s">
        <v>475</v>
      </c>
      <c r="K414" t="s">
        <v>476</v>
      </c>
      <c r="M414">
        <v>0.86</v>
      </c>
      <c r="N414">
        <v>2</v>
      </c>
      <c r="P414">
        <f>COUNTIFS(keyword_comparison[record_identifier],keyword_comparison[[#This Row],[record_identifier]],keyword_comparison[Review],"&lt;&gt;")</f>
        <v>0</v>
      </c>
      <c r="Q414" cm="1">
        <f t="array" ref="Q414">SUMPRODUCT((keyword_comparison[record_identifier]=keyword_comparison[[#This Row],[record_identifier]])*(LEN(keyword_comparison[keyword_matcher_output])&gt;0))</f>
        <v>5</v>
      </c>
    </row>
    <row r="415" spans="1:17" x14ac:dyDescent="0.25">
      <c r="A415" t="s">
        <v>453</v>
      </c>
      <c r="B415" t="s">
        <v>454</v>
      </c>
      <c r="C415" t="s">
        <v>455</v>
      </c>
      <c r="D415" t="s">
        <v>20</v>
      </c>
      <c r="E415" t="s">
        <v>33</v>
      </c>
      <c r="H415" t="s">
        <v>54</v>
      </c>
      <c r="J415" t="s">
        <v>477</v>
      </c>
      <c r="K415" t="s">
        <v>478</v>
      </c>
      <c r="M415">
        <v>0.67610000000000003</v>
      </c>
      <c r="N415">
        <v>3</v>
      </c>
      <c r="P415">
        <f>COUNTIFS(keyword_comparison[record_identifier],keyword_comparison[[#This Row],[record_identifier]],keyword_comparison[Review],"&lt;&gt;")</f>
        <v>0</v>
      </c>
      <c r="Q415" cm="1">
        <f t="array" ref="Q415">SUMPRODUCT((keyword_comparison[record_identifier]=keyword_comparison[[#This Row],[record_identifier]])*(LEN(keyword_comparison[keyword_matcher_output])&gt;0))</f>
        <v>5</v>
      </c>
    </row>
    <row r="416" spans="1:17" x14ac:dyDescent="0.25">
      <c r="A416" t="s">
        <v>453</v>
      </c>
      <c r="B416" t="s">
        <v>454</v>
      </c>
      <c r="C416" t="s">
        <v>455</v>
      </c>
      <c r="D416" t="s">
        <v>20</v>
      </c>
      <c r="E416" t="s">
        <v>33</v>
      </c>
      <c r="H416" t="s">
        <v>54</v>
      </c>
      <c r="J416" t="s">
        <v>479</v>
      </c>
      <c r="K416" t="s">
        <v>238</v>
      </c>
      <c r="M416">
        <v>0.55069999999999997</v>
      </c>
      <c r="N416">
        <v>4</v>
      </c>
      <c r="P416">
        <f>COUNTIFS(keyword_comparison[record_identifier],keyword_comparison[[#This Row],[record_identifier]],keyword_comparison[Review],"&lt;&gt;")</f>
        <v>0</v>
      </c>
      <c r="Q416" cm="1">
        <f t="array" ref="Q416">SUMPRODUCT((keyword_comparison[record_identifier]=keyword_comparison[[#This Row],[record_identifier]])*(LEN(keyword_comparison[keyword_matcher_output])&gt;0))</f>
        <v>5</v>
      </c>
    </row>
    <row r="417" spans="1:17" x14ac:dyDescent="0.25">
      <c r="A417" t="s">
        <v>453</v>
      </c>
      <c r="B417" t="s">
        <v>454</v>
      </c>
      <c r="C417" t="s">
        <v>455</v>
      </c>
      <c r="D417" t="s">
        <v>20</v>
      </c>
      <c r="E417" t="s">
        <v>33</v>
      </c>
      <c r="H417" t="s">
        <v>54</v>
      </c>
      <c r="J417" t="s">
        <v>480</v>
      </c>
      <c r="K417" t="s">
        <v>280</v>
      </c>
      <c r="M417">
        <v>0.50480000000000003</v>
      </c>
      <c r="N417">
        <v>5</v>
      </c>
      <c r="P417">
        <f>COUNTIFS(keyword_comparison[record_identifier],keyword_comparison[[#This Row],[record_identifier]],keyword_comparison[Review],"&lt;&gt;")</f>
        <v>0</v>
      </c>
      <c r="Q417" cm="1">
        <f t="array" ref="Q417">SUMPRODUCT((keyword_comparison[record_identifier]=keyword_comparison[[#This Row],[record_identifier]])*(LEN(keyword_comparison[keyword_matcher_output])&gt;0))</f>
        <v>5</v>
      </c>
    </row>
    <row r="418" spans="1:17" x14ac:dyDescent="0.25">
      <c r="A418" t="s">
        <v>453</v>
      </c>
      <c r="B418" t="s">
        <v>454</v>
      </c>
      <c r="C418" t="s">
        <v>455</v>
      </c>
      <c r="D418" t="s">
        <v>20</v>
      </c>
      <c r="E418" t="s">
        <v>33</v>
      </c>
      <c r="H418" t="s">
        <v>54</v>
      </c>
      <c r="J418" t="s">
        <v>481</v>
      </c>
      <c r="K418" t="s">
        <v>482</v>
      </c>
      <c r="M418">
        <v>0.44650000000000001</v>
      </c>
      <c r="N418">
        <v>6</v>
      </c>
      <c r="P418">
        <f>COUNTIFS(keyword_comparison[record_identifier],keyword_comparison[[#This Row],[record_identifier]],keyword_comparison[Review],"&lt;&gt;")</f>
        <v>0</v>
      </c>
      <c r="Q418" cm="1">
        <f t="array" ref="Q418">SUMPRODUCT((keyword_comparison[record_identifier]=keyword_comparison[[#This Row],[record_identifier]])*(LEN(keyword_comparison[keyword_matcher_output])&gt;0))</f>
        <v>5</v>
      </c>
    </row>
    <row r="419" spans="1:17" x14ac:dyDescent="0.25">
      <c r="A419" t="s">
        <v>453</v>
      </c>
      <c r="B419" t="s">
        <v>454</v>
      </c>
      <c r="C419" t="s">
        <v>455</v>
      </c>
      <c r="D419" t="s">
        <v>20</v>
      </c>
      <c r="E419" t="s">
        <v>33</v>
      </c>
      <c r="H419" t="s">
        <v>54</v>
      </c>
      <c r="J419" t="s">
        <v>483</v>
      </c>
      <c r="K419" t="s">
        <v>484</v>
      </c>
      <c r="M419">
        <v>0.41349999999999998</v>
      </c>
      <c r="N419">
        <v>7</v>
      </c>
      <c r="P419">
        <f>COUNTIFS(keyword_comparison[record_identifier],keyword_comparison[[#This Row],[record_identifier]],keyword_comparison[Review],"&lt;&gt;")</f>
        <v>0</v>
      </c>
      <c r="Q419" cm="1">
        <f t="array" ref="Q419">SUMPRODUCT((keyword_comparison[record_identifier]=keyword_comparison[[#This Row],[record_identifier]])*(LEN(keyword_comparison[keyword_matcher_output])&gt;0))</f>
        <v>5</v>
      </c>
    </row>
    <row r="420" spans="1:17" x14ac:dyDescent="0.25">
      <c r="A420" t="s">
        <v>453</v>
      </c>
      <c r="B420" t="s">
        <v>454</v>
      </c>
      <c r="C420" t="s">
        <v>455</v>
      </c>
      <c r="D420" t="s">
        <v>20</v>
      </c>
      <c r="E420" t="s">
        <v>33</v>
      </c>
      <c r="H420" t="s">
        <v>54</v>
      </c>
      <c r="J420" t="s">
        <v>485</v>
      </c>
      <c r="K420" t="s">
        <v>486</v>
      </c>
      <c r="M420">
        <v>0.20499999999999999</v>
      </c>
      <c r="N420">
        <v>8</v>
      </c>
      <c r="P420">
        <f>COUNTIFS(keyword_comparison[record_identifier],keyword_comparison[[#This Row],[record_identifier]],keyword_comparison[Review],"&lt;&gt;")</f>
        <v>0</v>
      </c>
      <c r="Q420" cm="1">
        <f t="array" ref="Q420">SUMPRODUCT((keyword_comparison[record_identifier]=keyword_comparison[[#This Row],[record_identifier]])*(LEN(keyword_comparison[keyword_matcher_output])&gt;0))</f>
        <v>5</v>
      </c>
    </row>
    <row r="421" spans="1:17" x14ac:dyDescent="0.25">
      <c r="A421" t="s">
        <v>453</v>
      </c>
      <c r="B421" t="s">
        <v>454</v>
      </c>
      <c r="C421" t="s">
        <v>455</v>
      </c>
      <c r="D421" t="s">
        <v>20</v>
      </c>
      <c r="E421" t="s">
        <v>33</v>
      </c>
      <c r="H421" t="s">
        <v>54</v>
      </c>
      <c r="J421" t="s">
        <v>487</v>
      </c>
      <c r="K421" t="s">
        <v>225</v>
      </c>
      <c r="M421">
        <v>0.1996</v>
      </c>
      <c r="N421">
        <v>9</v>
      </c>
      <c r="P421">
        <f>COUNTIFS(keyword_comparison[record_identifier],keyword_comparison[[#This Row],[record_identifier]],keyword_comparison[Review],"&lt;&gt;")</f>
        <v>0</v>
      </c>
      <c r="Q421" cm="1">
        <f t="array" ref="Q421">SUMPRODUCT((keyword_comparison[record_identifier]=keyword_comparison[[#This Row],[record_identifier]])*(LEN(keyword_comparison[keyword_matcher_output])&gt;0))</f>
        <v>5</v>
      </c>
    </row>
    <row r="422" spans="1:17" x14ac:dyDescent="0.25">
      <c r="A422" t="s">
        <v>453</v>
      </c>
      <c r="B422" t="s">
        <v>454</v>
      </c>
      <c r="C422" t="s">
        <v>455</v>
      </c>
      <c r="D422" t="s">
        <v>20</v>
      </c>
      <c r="E422" t="s">
        <v>33</v>
      </c>
      <c r="H422" t="s">
        <v>54</v>
      </c>
      <c r="J422" t="s">
        <v>488</v>
      </c>
      <c r="K422" t="s">
        <v>489</v>
      </c>
      <c r="M422">
        <v>0.19550000000000001</v>
      </c>
      <c r="N422">
        <v>10</v>
      </c>
      <c r="P422">
        <f>COUNTIFS(keyword_comparison[record_identifier],keyword_comparison[[#This Row],[record_identifier]],keyword_comparison[Review],"&lt;&gt;")</f>
        <v>0</v>
      </c>
      <c r="Q422" cm="1">
        <f t="array" ref="Q422">SUMPRODUCT((keyword_comparison[record_identifier]=keyword_comparison[[#This Row],[record_identifier]])*(LEN(keyword_comparison[keyword_matcher_output])&gt;0))</f>
        <v>5</v>
      </c>
    </row>
    <row r="423" spans="1:17" x14ac:dyDescent="0.25">
      <c r="A423" t="s">
        <v>453</v>
      </c>
      <c r="B423" t="s">
        <v>454</v>
      </c>
      <c r="C423" t="s">
        <v>455</v>
      </c>
      <c r="D423" t="s">
        <v>20</v>
      </c>
      <c r="E423" t="s">
        <v>33</v>
      </c>
      <c r="H423" t="s">
        <v>54</v>
      </c>
      <c r="J423" t="s">
        <v>490</v>
      </c>
      <c r="K423" t="s">
        <v>491</v>
      </c>
      <c r="M423">
        <v>0.10780000000000001</v>
      </c>
      <c r="N423">
        <v>11</v>
      </c>
      <c r="P423">
        <f>COUNTIFS(keyword_comparison[record_identifier],keyword_comparison[[#This Row],[record_identifier]],keyword_comparison[Review],"&lt;&gt;")</f>
        <v>0</v>
      </c>
      <c r="Q423" cm="1">
        <f t="array" ref="Q423">SUMPRODUCT((keyword_comparison[record_identifier]=keyword_comparison[[#This Row],[record_identifier]])*(LEN(keyword_comparison[keyword_matcher_output])&gt;0))</f>
        <v>5</v>
      </c>
    </row>
    <row r="424" spans="1:17" x14ac:dyDescent="0.25">
      <c r="A424" t="s">
        <v>453</v>
      </c>
      <c r="B424" t="s">
        <v>454</v>
      </c>
      <c r="C424" t="s">
        <v>455</v>
      </c>
      <c r="D424" t="s">
        <v>20</v>
      </c>
      <c r="E424" t="s">
        <v>33</v>
      </c>
      <c r="H424" t="s">
        <v>54</v>
      </c>
      <c r="J424" t="s">
        <v>492</v>
      </c>
      <c r="K424" t="s">
        <v>493</v>
      </c>
      <c r="M424">
        <v>0.105</v>
      </c>
      <c r="N424">
        <v>12</v>
      </c>
      <c r="P424">
        <f>COUNTIFS(keyword_comparison[record_identifier],keyword_comparison[[#This Row],[record_identifier]],keyword_comparison[Review],"&lt;&gt;")</f>
        <v>0</v>
      </c>
      <c r="Q424" cm="1">
        <f t="array" ref="Q424">SUMPRODUCT((keyword_comparison[record_identifier]=keyword_comparison[[#This Row],[record_identifier]])*(LEN(keyword_comparison[keyword_matcher_output])&gt;0))</f>
        <v>5</v>
      </c>
    </row>
    <row r="425" spans="1:17" x14ac:dyDescent="0.25">
      <c r="A425" t="s">
        <v>453</v>
      </c>
      <c r="B425" t="s">
        <v>454</v>
      </c>
      <c r="C425" t="s">
        <v>455</v>
      </c>
      <c r="D425" t="s">
        <v>20</v>
      </c>
      <c r="E425" t="s">
        <v>33</v>
      </c>
      <c r="H425" t="s">
        <v>54</v>
      </c>
      <c r="J425" t="s">
        <v>494</v>
      </c>
      <c r="K425" t="s">
        <v>495</v>
      </c>
      <c r="M425">
        <v>6.2100000000000002E-2</v>
      </c>
      <c r="N425">
        <v>13</v>
      </c>
      <c r="P425">
        <f>COUNTIFS(keyword_comparison[record_identifier],keyword_comparison[[#This Row],[record_identifier]],keyword_comparison[Review],"&lt;&gt;")</f>
        <v>0</v>
      </c>
      <c r="Q425" cm="1">
        <f t="array" ref="Q425">SUMPRODUCT((keyword_comparison[record_identifier]=keyword_comparison[[#This Row],[record_identifier]])*(LEN(keyword_comparison[keyword_matcher_output])&gt;0))</f>
        <v>5</v>
      </c>
    </row>
    <row r="426" spans="1:17" x14ac:dyDescent="0.25">
      <c r="A426" t="s">
        <v>453</v>
      </c>
      <c r="B426" t="s">
        <v>454</v>
      </c>
      <c r="C426" t="s">
        <v>455</v>
      </c>
      <c r="D426" t="s">
        <v>20</v>
      </c>
      <c r="E426" t="s">
        <v>48</v>
      </c>
      <c r="H426" t="s">
        <v>54</v>
      </c>
      <c r="J426" t="s">
        <v>475</v>
      </c>
      <c r="K426" t="s">
        <v>476</v>
      </c>
      <c r="P426">
        <f>COUNTIFS(keyword_comparison[record_identifier],keyword_comparison[[#This Row],[record_identifier]],keyword_comparison[Review],"&lt;&gt;")</f>
        <v>0</v>
      </c>
      <c r="Q426" cm="1">
        <f t="array" ref="Q426">SUMPRODUCT((keyword_comparison[record_identifier]=keyword_comparison[[#This Row],[record_identifier]])*(LEN(keyword_comparison[keyword_matcher_output])&gt;0))</f>
        <v>5</v>
      </c>
    </row>
    <row r="427" spans="1:17" x14ac:dyDescent="0.25">
      <c r="A427" t="s">
        <v>453</v>
      </c>
      <c r="B427" t="s">
        <v>454</v>
      </c>
      <c r="C427" t="s">
        <v>455</v>
      </c>
      <c r="D427" t="s">
        <v>20</v>
      </c>
      <c r="E427" t="s">
        <v>48</v>
      </c>
      <c r="H427" t="s">
        <v>54</v>
      </c>
      <c r="J427" t="s">
        <v>496</v>
      </c>
      <c r="K427" t="s">
        <v>497</v>
      </c>
      <c r="P427">
        <f>COUNTIFS(keyword_comparison[record_identifier],keyword_comparison[[#This Row],[record_identifier]],keyword_comparison[Review],"&lt;&gt;")</f>
        <v>0</v>
      </c>
      <c r="Q427" cm="1">
        <f t="array" ref="Q427">SUMPRODUCT((keyword_comparison[record_identifier]=keyword_comparison[[#This Row],[record_identifier]])*(LEN(keyword_comparison[keyword_matcher_output])&gt;0))</f>
        <v>5</v>
      </c>
    </row>
    <row r="428" spans="1:17" x14ac:dyDescent="0.25">
      <c r="A428" t="s">
        <v>453</v>
      </c>
      <c r="B428" t="s">
        <v>454</v>
      </c>
      <c r="C428" t="s">
        <v>455</v>
      </c>
      <c r="D428" t="s">
        <v>20</v>
      </c>
      <c r="E428" t="s">
        <v>48</v>
      </c>
      <c r="H428" t="s">
        <v>54</v>
      </c>
      <c r="J428" t="s">
        <v>84</v>
      </c>
      <c r="K428" t="s">
        <v>85</v>
      </c>
      <c r="P428">
        <f>COUNTIFS(keyword_comparison[record_identifier],keyword_comparison[[#This Row],[record_identifier]],keyword_comparison[Review],"&lt;&gt;")</f>
        <v>0</v>
      </c>
      <c r="Q428" cm="1">
        <f t="array" ref="Q428">SUMPRODUCT((keyword_comparison[record_identifier]=keyword_comparison[[#This Row],[record_identifier]])*(LEN(keyword_comparison[keyword_matcher_output])&gt;0))</f>
        <v>5</v>
      </c>
    </row>
    <row r="429" spans="1:17" x14ac:dyDescent="0.25">
      <c r="A429" t="s">
        <v>453</v>
      </c>
      <c r="B429" t="s">
        <v>454</v>
      </c>
      <c r="C429" t="s">
        <v>455</v>
      </c>
      <c r="D429" t="s">
        <v>20</v>
      </c>
      <c r="E429" t="s">
        <v>48</v>
      </c>
      <c r="H429" t="s">
        <v>54</v>
      </c>
      <c r="J429" t="s">
        <v>498</v>
      </c>
      <c r="K429" t="s">
        <v>499</v>
      </c>
      <c r="L429" t="b">
        <v>1</v>
      </c>
      <c r="P429">
        <f>COUNTIFS(keyword_comparison[record_identifier],keyword_comparison[[#This Row],[record_identifier]],keyword_comparison[Review],"&lt;&gt;")</f>
        <v>0</v>
      </c>
      <c r="Q429" cm="1">
        <f t="array" ref="Q429">SUMPRODUCT((keyword_comparison[record_identifier]=keyword_comparison[[#This Row],[record_identifier]])*(LEN(keyword_comparison[keyword_matcher_output])&gt;0))</f>
        <v>5</v>
      </c>
    </row>
    <row r="430" spans="1:17" x14ac:dyDescent="0.25">
      <c r="A430" t="s">
        <v>453</v>
      </c>
      <c r="B430" t="s">
        <v>454</v>
      </c>
      <c r="C430" t="s">
        <v>455</v>
      </c>
      <c r="D430" t="s">
        <v>20</v>
      </c>
      <c r="E430" t="s">
        <v>48</v>
      </c>
      <c r="H430" t="s">
        <v>54</v>
      </c>
      <c r="J430" t="s">
        <v>500</v>
      </c>
      <c r="K430" t="s">
        <v>501</v>
      </c>
      <c r="P430">
        <f>COUNTIFS(keyword_comparison[record_identifier],keyword_comparison[[#This Row],[record_identifier]],keyword_comparison[Review],"&lt;&gt;")</f>
        <v>0</v>
      </c>
      <c r="Q430" cm="1">
        <f t="array" ref="Q430">SUMPRODUCT((keyword_comparison[record_identifier]=keyword_comparison[[#This Row],[record_identifier]])*(LEN(keyword_comparison[keyword_matcher_output])&gt;0))</f>
        <v>5</v>
      </c>
    </row>
    <row r="431" spans="1:17" x14ac:dyDescent="0.25">
      <c r="A431" t="s">
        <v>453</v>
      </c>
      <c r="B431" t="s">
        <v>454</v>
      </c>
      <c r="C431" t="s">
        <v>455</v>
      </c>
      <c r="D431" t="s">
        <v>20</v>
      </c>
      <c r="E431" t="s">
        <v>48</v>
      </c>
      <c r="H431" t="s">
        <v>54</v>
      </c>
      <c r="J431" t="s">
        <v>483</v>
      </c>
      <c r="K431" t="s">
        <v>484</v>
      </c>
      <c r="P431">
        <f>COUNTIFS(keyword_comparison[record_identifier],keyword_comparison[[#This Row],[record_identifier]],keyword_comparison[Review],"&lt;&gt;")</f>
        <v>0</v>
      </c>
      <c r="Q431" cm="1">
        <f t="array" ref="Q431">SUMPRODUCT((keyword_comparison[record_identifier]=keyword_comparison[[#This Row],[record_identifier]])*(LEN(keyword_comparison[keyword_matcher_output])&gt;0))</f>
        <v>5</v>
      </c>
    </row>
    <row r="432" spans="1:17" x14ac:dyDescent="0.25">
      <c r="A432" t="s">
        <v>453</v>
      </c>
      <c r="B432" t="s">
        <v>454</v>
      </c>
      <c r="C432" t="s">
        <v>455</v>
      </c>
      <c r="D432" t="s">
        <v>20</v>
      </c>
      <c r="E432" t="s">
        <v>48</v>
      </c>
      <c r="H432" t="s">
        <v>54</v>
      </c>
      <c r="J432" t="s">
        <v>502</v>
      </c>
      <c r="K432" t="s">
        <v>503</v>
      </c>
      <c r="P432">
        <f>COUNTIFS(keyword_comparison[record_identifier],keyword_comparison[[#This Row],[record_identifier]],keyword_comparison[Review],"&lt;&gt;")</f>
        <v>0</v>
      </c>
      <c r="Q432" cm="1">
        <f t="array" ref="Q432">SUMPRODUCT((keyword_comparison[record_identifier]=keyword_comparison[[#This Row],[record_identifier]])*(LEN(keyword_comparison[keyword_matcher_output])&gt;0))</f>
        <v>5</v>
      </c>
    </row>
    <row r="433" spans="1:17" x14ac:dyDescent="0.25">
      <c r="A433" t="s">
        <v>453</v>
      </c>
      <c r="B433" t="s">
        <v>454</v>
      </c>
      <c r="C433" t="s">
        <v>455</v>
      </c>
      <c r="D433" t="s">
        <v>20</v>
      </c>
      <c r="E433" t="s">
        <v>53</v>
      </c>
      <c r="F433" t="s">
        <v>54</v>
      </c>
      <c r="G433" t="s">
        <v>54</v>
      </c>
      <c r="H433" t="s">
        <v>54</v>
      </c>
      <c r="J433" t="s">
        <v>475</v>
      </c>
      <c r="K433" t="s">
        <v>476</v>
      </c>
      <c r="O433">
        <v>1</v>
      </c>
      <c r="P433">
        <f>COUNTIFS(keyword_comparison[record_identifier],keyword_comparison[[#This Row],[record_identifier]],keyword_comparison[Review],"&lt;&gt;")</f>
        <v>0</v>
      </c>
      <c r="Q433" cm="1">
        <f t="array" ref="Q433">SUMPRODUCT((keyword_comparison[record_identifier]=keyword_comparison[[#This Row],[record_identifier]])*(LEN(keyword_comparison[keyword_matcher_output])&gt;0))</f>
        <v>5</v>
      </c>
    </row>
    <row r="434" spans="1:17" x14ac:dyDescent="0.25">
      <c r="A434" t="s">
        <v>453</v>
      </c>
      <c r="B434" t="s">
        <v>454</v>
      </c>
      <c r="C434" t="s">
        <v>455</v>
      </c>
      <c r="D434" t="s">
        <v>20</v>
      </c>
      <c r="E434" t="s">
        <v>53</v>
      </c>
      <c r="F434" t="s">
        <v>54</v>
      </c>
      <c r="G434" t="s">
        <v>54</v>
      </c>
      <c r="H434" t="s">
        <v>54</v>
      </c>
      <c r="J434" t="s">
        <v>496</v>
      </c>
      <c r="K434" t="s">
        <v>497</v>
      </c>
      <c r="O434">
        <v>2</v>
      </c>
      <c r="P434">
        <f>COUNTIFS(keyword_comparison[record_identifier],keyword_comparison[[#This Row],[record_identifier]],keyword_comparison[Review],"&lt;&gt;")</f>
        <v>0</v>
      </c>
      <c r="Q434" cm="1">
        <f t="array" ref="Q434">SUMPRODUCT((keyword_comparison[record_identifier]=keyword_comparison[[#This Row],[record_identifier]])*(LEN(keyword_comparison[keyword_matcher_output])&gt;0))</f>
        <v>5</v>
      </c>
    </row>
    <row r="435" spans="1:17" x14ac:dyDescent="0.25">
      <c r="A435" t="s">
        <v>453</v>
      </c>
      <c r="B435" t="s">
        <v>454</v>
      </c>
      <c r="C435" t="s">
        <v>455</v>
      </c>
      <c r="D435" t="s">
        <v>20</v>
      </c>
      <c r="E435" t="s">
        <v>53</v>
      </c>
      <c r="F435" t="s">
        <v>54</v>
      </c>
      <c r="G435" t="s">
        <v>54</v>
      </c>
      <c r="H435" t="s">
        <v>54</v>
      </c>
      <c r="J435" t="s">
        <v>504</v>
      </c>
      <c r="K435" t="s">
        <v>493</v>
      </c>
      <c r="O435">
        <v>3</v>
      </c>
      <c r="P435">
        <f>COUNTIFS(keyword_comparison[record_identifier],keyword_comparison[[#This Row],[record_identifier]],keyword_comparison[Review],"&lt;&gt;")</f>
        <v>0</v>
      </c>
      <c r="Q435" cm="1">
        <f t="array" ref="Q435">SUMPRODUCT((keyword_comparison[record_identifier]=keyword_comparison[[#This Row],[record_identifier]])*(LEN(keyword_comparison[keyword_matcher_output])&gt;0))</f>
        <v>5</v>
      </c>
    </row>
    <row r="436" spans="1:17" x14ac:dyDescent="0.25">
      <c r="A436" t="s">
        <v>453</v>
      </c>
      <c r="B436" t="s">
        <v>454</v>
      </c>
      <c r="C436" t="s">
        <v>455</v>
      </c>
      <c r="D436" t="s">
        <v>20</v>
      </c>
      <c r="E436" t="s">
        <v>53</v>
      </c>
      <c r="F436" t="s">
        <v>54</v>
      </c>
      <c r="G436" t="s">
        <v>54</v>
      </c>
      <c r="H436" t="s">
        <v>54</v>
      </c>
      <c r="J436" t="s">
        <v>500</v>
      </c>
      <c r="K436" t="s">
        <v>501</v>
      </c>
      <c r="O436">
        <v>4</v>
      </c>
      <c r="P436">
        <f>COUNTIFS(keyword_comparison[record_identifier],keyword_comparison[[#This Row],[record_identifier]],keyword_comparison[Review],"&lt;&gt;")</f>
        <v>0</v>
      </c>
      <c r="Q436" cm="1">
        <f t="array" ref="Q436">SUMPRODUCT((keyword_comparison[record_identifier]=keyword_comparison[[#This Row],[record_identifier]])*(LEN(keyword_comparison[keyword_matcher_output])&gt;0))</f>
        <v>5</v>
      </c>
    </row>
    <row r="437" spans="1:17" x14ac:dyDescent="0.25">
      <c r="A437" t="s">
        <v>453</v>
      </c>
      <c r="B437" t="s">
        <v>454</v>
      </c>
      <c r="C437" t="s">
        <v>455</v>
      </c>
      <c r="D437" t="s">
        <v>20</v>
      </c>
      <c r="E437" t="s">
        <v>53</v>
      </c>
      <c r="F437" t="s">
        <v>54</v>
      </c>
      <c r="G437" t="s">
        <v>54</v>
      </c>
      <c r="H437" t="s">
        <v>54</v>
      </c>
      <c r="J437" t="s">
        <v>483</v>
      </c>
      <c r="K437" t="s">
        <v>484</v>
      </c>
      <c r="O437">
        <v>5</v>
      </c>
      <c r="P437">
        <f>COUNTIFS(keyword_comparison[record_identifier],keyword_comparison[[#This Row],[record_identifier]],keyword_comparison[Review],"&lt;&gt;")</f>
        <v>0</v>
      </c>
      <c r="Q437" cm="1">
        <f t="array" ref="Q437">SUMPRODUCT((keyword_comparison[record_identifier]=keyword_comparison[[#This Row],[record_identifier]])*(LEN(keyword_comparison[keyword_matcher_output])&gt;0))</f>
        <v>5</v>
      </c>
    </row>
    <row r="438" spans="1:17" x14ac:dyDescent="0.25">
      <c r="A438" t="s">
        <v>453</v>
      </c>
      <c r="B438" t="s">
        <v>454</v>
      </c>
      <c r="C438" t="s">
        <v>455</v>
      </c>
      <c r="D438" t="s">
        <v>20</v>
      </c>
      <c r="E438" t="s">
        <v>53</v>
      </c>
      <c r="F438" t="s">
        <v>54</v>
      </c>
      <c r="G438" t="s">
        <v>54</v>
      </c>
      <c r="H438" t="s">
        <v>54</v>
      </c>
      <c r="J438" t="s">
        <v>502</v>
      </c>
      <c r="K438" t="s">
        <v>503</v>
      </c>
      <c r="O438">
        <v>8</v>
      </c>
      <c r="P438">
        <f>COUNTIFS(keyword_comparison[record_identifier],keyword_comparison[[#This Row],[record_identifier]],keyword_comparison[Review],"&lt;&gt;")</f>
        <v>0</v>
      </c>
      <c r="Q438" cm="1">
        <f t="array" ref="Q438">SUMPRODUCT((keyword_comparison[record_identifier]=keyword_comparison[[#This Row],[record_identifier]])*(LEN(keyword_comparison[keyword_matcher_output])&gt;0))</f>
        <v>5</v>
      </c>
    </row>
    <row r="439" spans="1:17" x14ac:dyDescent="0.25">
      <c r="A439" t="s">
        <v>453</v>
      </c>
      <c r="B439" t="s">
        <v>454</v>
      </c>
      <c r="C439" t="s">
        <v>455</v>
      </c>
      <c r="D439" t="s">
        <v>20</v>
      </c>
      <c r="E439" t="s">
        <v>53</v>
      </c>
      <c r="F439" t="s">
        <v>54</v>
      </c>
      <c r="G439" t="s">
        <v>54</v>
      </c>
      <c r="H439" t="s">
        <v>54</v>
      </c>
      <c r="J439" t="s">
        <v>324</v>
      </c>
      <c r="K439" t="s">
        <v>325</v>
      </c>
      <c r="O439">
        <v>9</v>
      </c>
      <c r="P439">
        <f>COUNTIFS(keyword_comparison[record_identifier],keyword_comparison[[#This Row],[record_identifier]],keyword_comparison[Review],"&lt;&gt;")</f>
        <v>0</v>
      </c>
      <c r="Q439" cm="1">
        <f t="array" ref="Q439">SUMPRODUCT((keyword_comparison[record_identifier]=keyword_comparison[[#This Row],[record_identifier]])*(LEN(keyword_comparison[keyword_matcher_output])&gt;0))</f>
        <v>5</v>
      </c>
    </row>
    <row r="440" spans="1:17" x14ac:dyDescent="0.25">
      <c r="A440" t="s">
        <v>453</v>
      </c>
      <c r="B440" t="s">
        <v>454</v>
      </c>
      <c r="C440" t="s">
        <v>455</v>
      </c>
      <c r="D440" t="s">
        <v>20</v>
      </c>
      <c r="E440" t="s">
        <v>53</v>
      </c>
      <c r="F440" t="s">
        <v>54</v>
      </c>
      <c r="G440" t="s">
        <v>54</v>
      </c>
      <c r="H440" t="s">
        <v>54</v>
      </c>
      <c r="J440" t="s">
        <v>435</v>
      </c>
      <c r="K440" t="s">
        <v>436</v>
      </c>
      <c r="O440">
        <v>10</v>
      </c>
      <c r="P440">
        <f>COUNTIFS(keyword_comparison[record_identifier],keyword_comparison[[#This Row],[record_identifier]],keyword_comparison[Review],"&lt;&gt;")</f>
        <v>0</v>
      </c>
      <c r="Q440" cm="1">
        <f t="array" ref="Q440">SUMPRODUCT((keyword_comparison[record_identifier]=keyword_comparison[[#This Row],[record_identifier]])*(LEN(keyword_comparison[keyword_matcher_output])&gt;0))</f>
        <v>5</v>
      </c>
    </row>
    <row r="441" spans="1:17" x14ac:dyDescent="0.25">
      <c r="A441" t="s">
        <v>505</v>
      </c>
      <c r="B441" t="s">
        <v>506</v>
      </c>
      <c r="C441" t="s">
        <v>507</v>
      </c>
      <c r="D441" t="s">
        <v>20</v>
      </c>
      <c r="E441" t="s">
        <v>33</v>
      </c>
      <c r="H441" t="s">
        <v>54</v>
      </c>
      <c r="J441" t="s">
        <v>184</v>
      </c>
      <c r="K441" t="s">
        <v>185</v>
      </c>
      <c r="M441">
        <v>0.23380000000000001</v>
      </c>
      <c r="N441">
        <v>1</v>
      </c>
      <c r="P441">
        <f>COUNTIFS(keyword_comparison[record_identifier],keyword_comparison[[#This Row],[record_identifier]],keyword_comparison[Review],"&lt;&gt;")</f>
        <v>0</v>
      </c>
      <c r="Q441" cm="1">
        <f t="array" ref="Q441">SUMPRODUCT((keyword_comparison[record_identifier]=keyword_comparison[[#This Row],[record_identifier]])*(LEN(keyword_comparison[keyword_matcher_output])&gt;0))</f>
        <v>0</v>
      </c>
    </row>
    <row r="442" spans="1:17" x14ac:dyDescent="0.25">
      <c r="A442" t="s">
        <v>505</v>
      </c>
      <c r="B442" t="s">
        <v>506</v>
      </c>
      <c r="C442" t="s">
        <v>507</v>
      </c>
      <c r="D442" t="s">
        <v>20</v>
      </c>
      <c r="E442" t="s">
        <v>33</v>
      </c>
      <c r="H442" t="s">
        <v>54</v>
      </c>
      <c r="J442" t="s">
        <v>191</v>
      </c>
      <c r="K442" t="s">
        <v>192</v>
      </c>
      <c r="M442">
        <v>0.20330000000000001</v>
      </c>
      <c r="N442">
        <v>2</v>
      </c>
      <c r="P442">
        <f>COUNTIFS(keyword_comparison[record_identifier],keyword_comparison[[#This Row],[record_identifier]],keyword_comparison[Review],"&lt;&gt;")</f>
        <v>0</v>
      </c>
      <c r="Q442" cm="1">
        <f t="array" ref="Q442">SUMPRODUCT((keyword_comparison[record_identifier]=keyword_comparison[[#This Row],[record_identifier]])*(LEN(keyword_comparison[keyword_matcher_output])&gt;0))</f>
        <v>0</v>
      </c>
    </row>
    <row r="443" spans="1:17" x14ac:dyDescent="0.25">
      <c r="A443" t="s">
        <v>505</v>
      </c>
      <c r="B443" t="s">
        <v>506</v>
      </c>
      <c r="C443" t="s">
        <v>507</v>
      </c>
      <c r="D443" t="s">
        <v>20</v>
      </c>
      <c r="E443" t="s">
        <v>33</v>
      </c>
      <c r="H443" t="s">
        <v>54</v>
      </c>
      <c r="J443" t="s">
        <v>204</v>
      </c>
      <c r="K443" t="s">
        <v>205</v>
      </c>
      <c r="L443" t="b">
        <v>1</v>
      </c>
      <c r="M443">
        <v>0.13020000000000001</v>
      </c>
      <c r="N443">
        <v>3</v>
      </c>
      <c r="P443">
        <f>COUNTIFS(keyword_comparison[record_identifier],keyword_comparison[[#This Row],[record_identifier]],keyword_comparison[Review],"&lt;&gt;")</f>
        <v>0</v>
      </c>
      <c r="Q443" cm="1">
        <f t="array" ref="Q443">SUMPRODUCT((keyword_comparison[record_identifier]=keyword_comparison[[#This Row],[record_identifier]])*(LEN(keyword_comparison[keyword_matcher_output])&gt;0))</f>
        <v>0</v>
      </c>
    </row>
    <row r="444" spans="1:17" x14ac:dyDescent="0.25">
      <c r="A444" t="s">
        <v>505</v>
      </c>
      <c r="B444" t="s">
        <v>506</v>
      </c>
      <c r="C444" t="s">
        <v>507</v>
      </c>
      <c r="D444" t="s">
        <v>20</v>
      </c>
      <c r="E444" t="s">
        <v>33</v>
      </c>
      <c r="H444" t="s">
        <v>54</v>
      </c>
      <c r="J444" t="s">
        <v>186</v>
      </c>
      <c r="K444" t="s">
        <v>174</v>
      </c>
      <c r="L444" t="b">
        <v>1</v>
      </c>
      <c r="M444">
        <v>5.7000000000000002E-2</v>
      </c>
      <c r="N444">
        <v>4</v>
      </c>
      <c r="P444">
        <f>COUNTIFS(keyword_comparison[record_identifier],keyword_comparison[[#This Row],[record_identifier]],keyword_comparison[Review],"&lt;&gt;")</f>
        <v>0</v>
      </c>
      <c r="Q444" cm="1">
        <f t="array" ref="Q444">SUMPRODUCT((keyword_comparison[record_identifier]=keyword_comparison[[#This Row],[record_identifier]])*(LEN(keyword_comparison[keyword_matcher_output])&gt;0))</f>
        <v>0</v>
      </c>
    </row>
    <row r="445" spans="1:17" x14ac:dyDescent="0.25">
      <c r="A445" t="s">
        <v>505</v>
      </c>
      <c r="B445" t="s">
        <v>506</v>
      </c>
      <c r="C445" t="s">
        <v>507</v>
      </c>
      <c r="D445" t="s">
        <v>20</v>
      </c>
      <c r="E445" t="s">
        <v>48</v>
      </c>
      <c r="H445" t="s">
        <v>54</v>
      </c>
      <c r="J445" t="s">
        <v>84</v>
      </c>
      <c r="K445" t="s">
        <v>85</v>
      </c>
      <c r="P445">
        <f>COUNTIFS(keyword_comparison[record_identifier],keyword_comparison[[#This Row],[record_identifier]],keyword_comparison[Review],"&lt;&gt;")</f>
        <v>0</v>
      </c>
      <c r="Q445" cm="1">
        <f t="array" ref="Q445">SUMPRODUCT((keyword_comparison[record_identifier]=keyword_comparison[[#This Row],[record_identifier]])*(LEN(keyword_comparison[keyword_matcher_output])&gt;0))</f>
        <v>0</v>
      </c>
    </row>
    <row r="446" spans="1:17" x14ac:dyDescent="0.25">
      <c r="A446" t="s">
        <v>505</v>
      </c>
      <c r="B446" t="s">
        <v>506</v>
      </c>
      <c r="C446" t="s">
        <v>507</v>
      </c>
      <c r="D446" t="s">
        <v>20</v>
      </c>
      <c r="E446" t="s">
        <v>48</v>
      </c>
      <c r="H446" t="s">
        <v>54</v>
      </c>
      <c r="J446" t="s">
        <v>94</v>
      </c>
      <c r="K446" t="s">
        <v>95</v>
      </c>
      <c r="P446">
        <f>COUNTIFS(keyword_comparison[record_identifier],keyword_comparison[[#This Row],[record_identifier]],keyword_comparison[Review],"&lt;&gt;")</f>
        <v>0</v>
      </c>
      <c r="Q446" cm="1">
        <f t="array" ref="Q446">SUMPRODUCT((keyword_comparison[record_identifier]=keyword_comparison[[#This Row],[record_identifier]])*(LEN(keyword_comparison[keyword_matcher_output])&gt;0))</f>
        <v>0</v>
      </c>
    </row>
    <row r="447" spans="1:17" x14ac:dyDescent="0.25">
      <c r="A447" t="s">
        <v>505</v>
      </c>
      <c r="B447" t="s">
        <v>506</v>
      </c>
      <c r="C447" t="s">
        <v>507</v>
      </c>
      <c r="D447" t="s">
        <v>20</v>
      </c>
      <c r="E447" t="s">
        <v>53</v>
      </c>
      <c r="F447" t="s">
        <v>54</v>
      </c>
      <c r="G447" t="s">
        <v>54</v>
      </c>
      <c r="H447" t="s">
        <v>54</v>
      </c>
      <c r="J447" t="s">
        <v>204</v>
      </c>
      <c r="K447" t="s">
        <v>205</v>
      </c>
      <c r="O447">
        <v>1</v>
      </c>
      <c r="P447">
        <f>COUNTIFS(keyword_comparison[record_identifier],keyword_comparison[[#This Row],[record_identifier]],keyword_comparison[Review],"&lt;&gt;")</f>
        <v>0</v>
      </c>
      <c r="Q447" cm="1">
        <f t="array" ref="Q447">SUMPRODUCT((keyword_comparison[record_identifier]=keyword_comparison[[#This Row],[record_identifier]])*(LEN(keyword_comparison[keyword_matcher_output])&gt;0))</f>
        <v>0</v>
      </c>
    </row>
    <row r="448" spans="1:17" x14ac:dyDescent="0.25">
      <c r="A448" t="s">
        <v>505</v>
      </c>
      <c r="B448" t="s">
        <v>506</v>
      </c>
      <c r="C448" t="s">
        <v>507</v>
      </c>
      <c r="D448" t="s">
        <v>20</v>
      </c>
      <c r="E448" t="s">
        <v>53</v>
      </c>
      <c r="F448" t="s">
        <v>54</v>
      </c>
      <c r="G448" t="s">
        <v>54</v>
      </c>
      <c r="H448" t="s">
        <v>54</v>
      </c>
      <c r="J448" t="s">
        <v>211</v>
      </c>
      <c r="K448" t="s">
        <v>212</v>
      </c>
      <c r="O448">
        <v>2</v>
      </c>
      <c r="P448">
        <f>COUNTIFS(keyword_comparison[record_identifier],keyword_comparison[[#This Row],[record_identifier]],keyword_comparison[Review],"&lt;&gt;")</f>
        <v>0</v>
      </c>
      <c r="Q448" cm="1">
        <f t="array" ref="Q448">SUMPRODUCT((keyword_comparison[record_identifier]=keyword_comparison[[#This Row],[record_identifier]])*(LEN(keyword_comparison[keyword_matcher_output])&gt;0))</f>
        <v>0</v>
      </c>
    </row>
    <row r="449" spans="1:17" x14ac:dyDescent="0.25">
      <c r="A449" t="s">
        <v>505</v>
      </c>
      <c r="B449" t="s">
        <v>506</v>
      </c>
      <c r="C449" t="s">
        <v>507</v>
      </c>
      <c r="D449" t="s">
        <v>20</v>
      </c>
      <c r="E449" t="s">
        <v>53</v>
      </c>
      <c r="F449" t="s">
        <v>54</v>
      </c>
      <c r="G449" t="s">
        <v>54</v>
      </c>
      <c r="H449" t="s">
        <v>54</v>
      </c>
      <c r="J449" t="s">
        <v>508</v>
      </c>
      <c r="K449" t="s">
        <v>509</v>
      </c>
      <c r="O449">
        <v>3</v>
      </c>
      <c r="P449">
        <f>COUNTIFS(keyword_comparison[record_identifier],keyword_comparison[[#This Row],[record_identifier]],keyword_comparison[Review],"&lt;&gt;")</f>
        <v>0</v>
      </c>
      <c r="Q449" cm="1">
        <f t="array" ref="Q449">SUMPRODUCT((keyword_comparison[record_identifier]=keyword_comparison[[#This Row],[record_identifier]])*(LEN(keyword_comparison[keyword_matcher_output])&gt;0))</f>
        <v>0</v>
      </c>
    </row>
    <row r="450" spans="1:17" x14ac:dyDescent="0.25">
      <c r="A450" t="s">
        <v>505</v>
      </c>
      <c r="B450" t="s">
        <v>506</v>
      </c>
      <c r="C450" t="s">
        <v>507</v>
      </c>
      <c r="D450" t="s">
        <v>20</v>
      </c>
      <c r="E450" t="s">
        <v>53</v>
      </c>
      <c r="F450" t="s">
        <v>54</v>
      </c>
      <c r="G450" t="s">
        <v>54</v>
      </c>
      <c r="H450" t="s">
        <v>54</v>
      </c>
      <c r="J450" t="s">
        <v>59</v>
      </c>
      <c r="K450" t="s">
        <v>60</v>
      </c>
      <c r="O450">
        <v>4</v>
      </c>
      <c r="P450">
        <f>COUNTIFS(keyword_comparison[record_identifier],keyword_comparison[[#This Row],[record_identifier]],keyword_comparison[Review],"&lt;&gt;")</f>
        <v>0</v>
      </c>
      <c r="Q450" cm="1">
        <f t="array" ref="Q450">SUMPRODUCT((keyword_comparison[record_identifier]=keyword_comparison[[#This Row],[record_identifier]])*(LEN(keyword_comparison[keyword_matcher_output])&gt;0))</f>
        <v>0</v>
      </c>
    </row>
    <row r="451" spans="1:17" x14ac:dyDescent="0.25">
      <c r="A451" t="s">
        <v>505</v>
      </c>
      <c r="B451" t="s">
        <v>506</v>
      </c>
      <c r="C451" t="s">
        <v>507</v>
      </c>
      <c r="D451" t="s">
        <v>20</v>
      </c>
      <c r="E451" t="s">
        <v>53</v>
      </c>
      <c r="F451" t="s">
        <v>54</v>
      </c>
      <c r="G451" t="s">
        <v>54</v>
      </c>
      <c r="H451" t="s">
        <v>54</v>
      </c>
      <c r="J451" t="s">
        <v>55</v>
      </c>
      <c r="K451" t="s">
        <v>56</v>
      </c>
      <c r="O451">
        <v>5</v>
      </c>
      <c r="P451">
        <f>COUNTIFS(keyword_comparison[record_identifier],keyword_comparison[[#This Row],[record_identifier]],keyword_comparison[Review],"&lt;&gt;")</f>
        <v>0</v>
      </c>
      <c r="Q451" cm="1">
        <f t="array" ref="Q451">SUMPRODUCT((keyword_comparison[record_identifier]=keyword_comparison[[#This Row],[record_identifier]])*(LEN(keyword_comparison[keyword_matcher_output])&gt;0))</f>
        <v>0</v>
      </c>
    </row>
    <row r="452" spans="1:17" x14ac:dyDescent="0.25">
      <c r="A452" t="s">
        <v>505</v>
      </c>
      <c r="B452" t="s">
        <v>506</v>
      </c>
      <c r="C452" t="s">
        <v>507</v>
      </c>
      <c r="D452" t="s">
        <v>20</v>
      </c>
      <c r="E452" t="s">
        <v>53</v>
      </c>
      <c r="F452" t="s">
        <v>54</v>
      </c>
      <c r="G452" t="s">
        <v>54</v>
      </c>
      <c r="H452" t="s">
        <v>54</v>
      </c>
      <c r="J452" t="s">
        <v>248</v>
      </c>
      <c r="K452" t="s">
        <v>249</v>
      </c>
      <c r="O452">
        <v>6</v>
      </c>
      <c r="P452">
        <f>COUNTIFS(keyword_comparison[record_identifier],keyword_comparison[[#This Row],[record_identifier]],keyword_comparison[Review],"&lt;&gt;")</f>
        <v>0</v>
      </c>
      <c r="Q452" cm="1">
        <f t="array" ref="Q452">SUMPRODUCT((keyword_comparison[record_identifier]=keyword_comparison[[#This Row],[record_identifier]])*(LEN(keyword_comparison[keyword_matcher_output])&gt;0))</f>
        <v>0</v>
      </c>
    </row>
    <row r="453" spans="1:17" x14ac:dyDescent="0.25">
      <c r="A453" t="s">
        <v>505</v>
      </c>
      <c r="B453" t="s">
        <v>506</v>
      </c>
      <c r="C453" t="s">
        <v>507</v>
      </c>
      <c r="D453" t="s">
        <v>20</v>
      </c>
      <c r="E453" t="s">
        <v>53</v>
      </c>
      <c r="F453" t="s">
        <v>54</v>
      </c>
      <c r="G453" t="s">
        <v>54</v>
      </c>
      <c r="H453" t="s">
        <v>54</v>
      </c>
      <c r="J453" t="s">
        <v>407</v>
      </c>
      <c r="K453" t="s">
        <v>408</v>
      </c>
      <c r="O453">
        <v>7</v>
      </c>
      <c r="P453">
        <f>COUNTIFS(keyword_comparison[record_identifier],keyword_comparison[[#This Row],[record_identifier]],keyword_comparison[Review],"&lt;&gt;")</f>
        <v>0</v>
      </c>
      <c r="Q453" cm="1">
        <f t="array" ref="Q453">SUMPRODUCT((keyword_comparison[record_identifier]=keyword_comparison[[#This Row],[record_identifier]])*(LEN(keyword_comparison[keyword_matcher_output])&gt;0))</f>
        <v>0</v>
      </c>
    </row>
    <row r="454" spans="1:17" x14ac:dyDescent="0.25">
      <c r="A454" t="s">
        <v>505</v>
      </c>
      <c r="B454" t="s">
        <v>506</v>
      </c>
      <c r="C454" t="s">
        <v>507</v>
      </c>
      <c r="D454" t="s">
        <v>20</v>
      </c>
      <c r="E454" t="s">
        <v>53</v>
      </c>
      <c r="F454" t="s">
        <v>54</v>
      </c>
      <c r="G454" t="s">
        <v>54</v>
      </c>
      <c r="H454" t="s">
        <v>54</v>
      </c>
      <c r="J454" t="s">
        <v>61</v>
      </c>
      <c r="K454" t="s">
        <v>62</v>
      </c>
      <c r="O454">
        <v>8</v>
      </c>
      <c r="P454">
        <f>COUNTIFS(keyword_comparison[record_identifier],keyword_comparison[[#This Row],[record_identifier]],keyword_comparison[Review],"&lt;&gt;")</f>
        <v>0</v>
      </c>
      <c r="Q454" cm="1">
        <f t="array" ref="Q454">SUMPRODUCT((keyword_comparison[record_identifier]=keyword_comparison[[#This Row],[record_identifier]])*(LEN(keyword_comparison[keyword_matcher_output])&gt;0))</f>
        <v>0</v>
      </c>
    </row>
    <row r="455" spans="1:17" x14ac:dyDescent="0.25">
      <c r="A455" t="s">
        <v>505</v>
      </c>
      <c r="B455" t="s">
        <v>506</v>
      </c>
      <c r="C455" t="s">
        <v>507</v>
      </c>
      <c r="D455" t="s">
        <v>20</v>
      </c>
      <c r="E455" t="s">
        <v>53</v>
      </c>
      <c r="F455" t="s">
        <v>54</v>
      </c>
      <c r="G455" t="s">
        <v>54</v>
      </c>
      <c r="H455" t="s">
        <v>54</v>
      </c>
      <c r="J455" t="s">
        <v>262</v>
      </c>
      <c r="K455" t="s">
        <v>263</v>
      </c>
      <c r="O455">
        <v>9</v>
      </c>
      <c r="P455">
        <f>COUNTIFS(keyword_comparison[record_identifier],keyword_comparison[[#This Row],[record_identifier]],keyword_comparison[Review],"&lt;&gt;")</f>
        <v>0</v>
      </c>
      <c r="Q455" cm="1">
        <f t="array" ref="Q455">SUMPRODUCT((keyword_comparison[record_identifier]=keyword_comparison[[#This Row],[record_identifier]])*(LEN(keyword_comparison[keyword_matcher_output])&gt;0))</f>
        <v>0</v>
      </c>
    </row>
    <row r="456" spans="1:17" x14ac:dyDescent="0.25">
      <c r="A456" t="s">
        <v>505</v>
      </c>
      <c r="B456" t="s">
        <v>506</v>
      </c>
      <c r="C456" t="s">
        <v>507</v>
      </c>
      <c r="D456" t="s">
        <v>20</v>
      </c>
      <c r="E456" t="s">
        <v>53</v>
      </c>
      <c r="F456" t="s">
        <v>54</v>
      </c>
      <c r="G456" t="s">
        <v>54</v>
      </c>
      <c r="H456" t="s">
        <v>54</v>
      </c>
      <c r="J456" t="s">
        <v>219</v>
      </c>
      <c r="K456" t="s">
        <v>221</v>
      </c>
      <c r="O456">
        <v>10</v>
      </c>
      <c r="P456">
        <f>COUNTIFS(keyword_comparison[record_identifier],keyword_comparison[[#This Row],[record_identifier]],keyword_comparison[Review],"&lt;&gt;")</f>
        <v>0</v>
      </c>
      <c r="Q456" cm="1">
        <f t="array" ref="Q456">SUMPRODUCT((keyword_comparison[record_identifier]=keyword_comparison[[#This Row],[record_identifier]])*(LEN(keyword_comparison[keyword_matcher_output])&gt;0))</f>
        <v>0</v>
      </c>
    </row>
    <row r="457" spans="1:17" x14ac:dyDescent="0.25">
      <c r="A457" t="s">
        <v>505</v>
      </c>
      <c r="B457" t="s">
        <v>506</v>
      </c>
      <c r="C457" t="s">
        <v>507</v>
      </c>
      <c r="D457" t="s">
        <v>20</v>
      </c>
      <c r="E457" t="s">
        <v>53</v>
      </c>
      <c r="F457" t="s">
        <v>54</v>
      </c>
      <c r="G457" t="s">
        <v>54</v>
      </c>
      <c r="H457" t="s">
        <v>54</v>
      </c>
      <c r="J457" t="s">
        <v>219</v>
      </c>
      <c r="K457" t="s">
        <v>220</v>
      </c>
      <c r="O457">
        <v>10</v>
      </c>
      <c r="P457">
        <f>COUNTIFS(keyword_comparison[record_identifier],keyword_comparison[[#This Row],[record_identifier]],keyword_comparison[Review],"&lt;&gt;")</f>
        <v>0</v>
      </c>
      <c r="Q457" cm="1">
        <f t="array" ref="Q457">SUMPRODUCT((keyword_comparison[record_identifier]=keyword_comparison[[#This Row],[record_identifier]])*(LEN(keyword_comparison[keyword_matcher_output])&gt;0))</f>
        <v>0</v>
      </c>
    </row>
    <row r="458" spans="1:17" x14ac:dyDescent="0.25">
      <c r="A458" t="s">
        <v>510</v>
      </c>
      <c r="B458" t="s">
        <v>511</v>
      </c>
      <c r="C458" t="s">
        <v>512</v>
      </c>
      <c r="D458" t="s">
        <v>20</v>
      </c>
      <c r="E458" t="s">
        <v>33</v>
      </c>
      <c r="H458" t="s">
        <v>54</v>
      </c>
      <c r="J458" t="s">
        <v>513</v>
      </c>
      <c r="K458" t="s">
        <v>251</v>
      </c>
      <c r="M458">
        <v>0.99970000000000003</v>
      </c>
      <c r="N458">
        <v>1</v>
      </c>
      <c r="P458">
        <f>COUNTIFS(keyword_comparison[record_identifier],keyword_comparison[[#This Row],[record_identifier]],keyword_comparison[Review],"&lt;&gt;")</f>
        <v>0</v>
      </c>
      <c r="Q458" cm="1">
        <f t="array" ref="Q458">SUMPRODUCT((keyword_comparison[record_identifier]=keyword_comparison[[#This Row],[record_identifier]])*(LEN(keyword_comparison[keyword_matcher_output])&gt;0))</f>
        <v>0</v>
      </c>
    </row>
    <row r="459" spans="1:17" x14ac:dyDescent="0.25">
      <c r="A459" t="s">
        <v>510</v>
      </c>
      <c r="B459" t="s">
        <v>511</v>
      </c>
      <c r="C459" t="s">
        <v>512</v>
      </c>
      <c r="D459" t="s">
        <v>20</v>
      </c>
      <c r="E459" t="s">
        <v>33</v>
      </c>
      <c r="H459" t="s">
        <v>54</v>
      </c>
      <c r="J459" t="s">
        <v>233</v>
      </c>
      <c r="K459" t="s">
        <v>234</v>
      </c>
      <c r="M459">
        <v>0.99850000000000005</v>
      </c>
      <c r="N459">
        <v>2</v>
      </c>
      <c r="P459">
        <f>COUNTIFS(keyword_comparison[record_identifier],keyword_comparison[[#This Row],[record_identifier]],keyword_comparison[Review],"&lt;&gt;")</f>
        <v>0</v>
      </c>
      <c r="Q459" cm="1">
        <f t="array" ref="Q459">SUMPRODUCT((keyword_comparison[record_identifier]=keyword_comparison[[#This Row],[record_identifier]])*(LEN(keyword_comparison[keyword_matcher_output])&gt;0))</f>
        <v>0</v>
      </c>
    </row>
    <row r="460" spans="1:17" x14ac:dyDescent="0.25">
      <c r="A460" t="s">
        <v>510</v>
      </c>
      <c r="B460" t="s">
        <v>511</v>
      </c>
      <c r="C460" t="s">
        <v>512</v>
      </c>
      <c r="D460" t="s">
        <v>20</v>
      </c>
      <c r="E460" t="s">
        <v>33</v>
      </c>
      <c r="H460" t="s">
        <v>54</v>
      </c>
      <c r="J460" t="s">
        <v>222</v>
      </c>
      <c r="K460" t="s">
        <v>223</v>
      </c>
      <c r="M460">
        <v>0.99480000000000002</v>
      </c>
      <c r="N460">
        <v>3</v>
      </c>
      <c r="P460">
        <f>COUNTIFS(keyword_comparison[record_identifier],keyword_comparison[[#This Row],[record_identifier]],keyword_comparison[Review],"&lt;&gt;")</f>
        <v>0</v>
      </c>
      <c r="Q460" cm="1">
        <f t="array" ref="Q460">SUMPRODUCT((keyword_comparison[record_identifier]=keyword_comparison[[#This Row],[record_identifier]])*(LEN(keyword_comparison[keyword_matcher_output])&gt;0))</f>
        <v>0</v>
      </c>
    </row>
    <row r="461" spans="1:17" x14ac:dyDescent="0.25">
      <c r="A461" t="s">
        <v>510</v>
      </c>
      <c r="B461" t="s">
        <v>511</v>
      </c>
      <c r="C461" t="s">
        <v>512</v>
      </c>
      <c r="D461" t="s">
        <v>20</v>
      </c>
      <c r="E461" t="s">
        <v>33</v>
      </c>
      <c r="H461" t="s">
        <v>54</v>
      </c>
      <c r="J461" t="s">
        <v>248</v>
      </c>
      <c r="K461" t="s">
        <v>249</v>
      </c>
      <c r="M461">
        <v>0.9819</v>
      </c>
      <c r="N461">
        <v>4</v>
      </c>
      <c r="P461">
        <f>COUNTIFS(keyword_comparison[record_identifier],keyword_comparison[[#This Row],[record_identifier]],keyword_comparison[Review],"&lt;&gt;")</f>
        <v>0</v>
      </c>
      <c r="Q461" cm="1">
        <f t="array" ref="Q461">SUMPRODUCT((keyword_comparison[record_identifier]=keyword_comparison[[#This Row],[record_identifier]])*(LEN(keyword_comparison[keyword_matcher_output])&gt;0))</f>
        <v>0</v>
      </c>
    </row>
    <row r="462" spans="1:17" x14ac:dyDescent="0.25">
      <c r="A462" t="s">
        <v>510</v>
      </c>
      <c r="B462" t="s">
        <v>511</v>
      </c>
      <c r="C462" t="s">
        <v>512</v>
      </c>
      <c r="D462" t="s">
        <v>20</v>
      </c>
      <c r="E462" t="s">
        <v>33</v>
      </c>
      <c r="H462" t="s">
        <v>54</v>
      </c>
      <c r="J462" t="s">
        <v>514</v>
      </c>
      <c r="K462" t="s">
        <v>515</v>
      </c>
      <c r="M462">
        <v>0.91390000000000005</v>
      </c>
      <c r="N462">
        <v>5</v>
      </c>
      <c r="P462">
        <f>COUNTIFS(keyword_comparison[record_identifier],keyword_comparison[[#This Row],[record_identifier]],keyword_comparison[Review],"&lt;&gt;")</f>
        <v>0</v>
      </c>
      <c r="Q462" cm="1">
        <f t="array" ref="Q462">SUMPRODUCT((keyword_comparison[record_identifier]=keyword_comparison[[#This Row],[record_identifier]])*(LEN(keyword_comparison[keyword_matcher_output])&gt;0))</f>
        <v>0</v>
      </c>
    </row>
    <row r="463" spans="1:17" x14ac:dyDescent="0.25">
      <c r="A463" t="s">
        <v>510</v>
      </c>
      <c r="B463" t="s">
        <v>511</v>
      </c>
      <c r="C463" t="s">
        <v>512</v>
      </c>
      <c r="D463" t="s">
        <v>20</v>
      </c>
      <c r="E463" t="s">
        <v>33</v>
      </c>
      <c r="H463" t="s">
        <v>54</v>
      </c>
      <c r="J463" t="s">
        <v>516</v>
      </c>
      <c r="K463" t="s">
        <v>517</v>
      </c>
      <c r="M463">
        <v>0.87</v>
      </c>
      <c r="N463">
        <v>6</v>
      </c>
      <c r="P463">
        <f>COUNTIFS(keyword_comparison[record_identifier],keyword_comparison[[#This Row],[record_identifier]],keyword_comparison[Review],"&lt;&gt;")</f>
        <v>0</v>
      </c>
      <c r="Q463" cm="1">
        <f t="array" ref="Q463">SUMPRODUCT((keyword_comparison[record_identifier]=keyword_comparison[[#This Row],[record_identifier]])*(LEN(keyword_comparison[keyword_matcher_output])&gt;0))</f>
        <v>0</v>
      </c>
    </row>
    <row r="464" spans="1:17" x14ac:dyDescent="0.25">
      <c r="A464" t="s">
        <v>510</v>
      </c>
      <c r="B464" t="s">
        <v>511</v>
      </c>
      <c r="C464" t="s">
        <v>512</v>
      </c>
      <c r="D464" t="s">
        <v>20</v>
      </c>
      <c r="E464" t="s">
        <v>33</v>
      </c>
      <c r="H464" t="s">
        <v>54</v>
      </c>
      <c r="J464" t="s">
        <v>437</v>
      </c>
      <c r="K464" t="s">
        <v>438</v>
      </c>
      <c r="M464">
        <v>0.79859999999999998</v>
      </c>
      <c r="N464">
        <v>7</v>
      </c>
      <c r="P464">
        <f>COUNTIFS(keyword_comparison[record_identifier],keyword_comparison[[#This Row],[record_identifier]],keyword_comparison[Review],"&lt;&gt;")</f>
        <v>0</v>
      </c>
      <c r="Q464" cm="1">
        <f t="array" ref="Q464">SUMPRODUCT((keyword_comparison[record_identifier]=keyword_comparison[[#This Row],[record_identifier]])*(LEN(keyword_comparison[keyword_matcher_output])&gt;0))</f>
        <v>0</v>
      </c>
    </row>
    <row r="465" spans="1:17" x14ac:dyDescent="0.25">
      <c r="A465" t="s">
        <v>510</v>
      </c>
      <c r="B465" t="s">
        <v>511</v>
      </c>
      <c r="C465" t="s">
        <v>512</v>
      </c>
      <c r="D465" t="s">
        <v>20</v>
      </c>
      <c r="E465" t="s">
        <v>33</v>
      </c>
      <c r="H465" t="s">
        <v>54</v>
      </c>
      <c r="J465" t="s">
        <v>57</v>
      </c>
      <c r="K465" t="s">
        <v>58</v>
      </c>
      <c r="M465">
        <v>0.79400000000000004</v>
      </c>
      <c r="N465">
        <v>8</v>
      </c>
      <c r="P465">
        <f>COUNTIFS(keyword_comparison[record_identifier],keyword_comparison[[#This Row],[record_identifier]],keyword_comparison[Review],"&lt;&gt;")</f>
        <v>0</v>
      </c>
      <c r="Q465" cm="1">
        <f t="array" ref="Q465">SUMPRODUCT((keyword_comparison[record_identifier]=keyword_comparison[[#This Row],[record_identifier]])*(LEN(keyword_comparison[keyword_matcher_output])&gt;0))</f>
        <v>0</v>
      </c>
    </row>
    <row r="466" spans="1:17" x14ac:dyDescent="0.25">
      <c r="A466" t="s">
        <v>510</v>
      </c>
      <c r="B466" t="s">
        <v>511</v>
      </c>
      <c r="C466" t="s">
        <v>512</v>
      </c>
      <c r="D466" t="s">
        <v>20</v>
      </c>
      <c r="E466" t="s">
        <v>33</v>
      </c>
      <c r="H466" t="s">
        <v>54</v>
      </c>
      <c r="J466" t="s">
        <v>193</v>
      </c>
      <c r="K466" t="s">
        <v>194</v>
      </c>
      <c r="M466">
        <v>0.63319999999999999</v>
      </c>
      <c r="N466">
        <v>9</v>
      </c>
      <c r="P466">
        <f>COUNTIFS(keyword_comparison[record_identifier],keyword_comparison[[#This Row],[record_identifier]],keyword_comparison[Review],"&lt;&gt;")</f>
        <v>0</v>
      </c>
      <c r="Q466" cm="1">
        <f t="array" ref="Q466">SUMPRODUCT((keyword_comparison[record_identifier]=keyword_comparison[[#This Row],[record_identifier]])*(LEN(keyword_comparison[keyword_matcher_output])&gt;0))</f>
        <v>0</v>
      </c>
    </row>
    <row r="467" spans="1:17" x14ac:dyDescent="0.25">
      <c r="A467" t="s">
        <v>510</v>
      </c>
      <c r="B467" t="s">
        <v>511</v>
      </c>
      <c r="C467" t="s">
        <v>512</v>
      </c>
      <c r="D467" t="s">
        <v>20</v>
      </c>
      <c r="E467" t="s">
        <v>33</v>
      </c>
      <c r="H467" t="s">
        <v>54</v>
      </c>
      <c r="J467" t="s">
        <v>518</v>
      </c>
      <c r="K467" t="s">
        <v>56</v>
      </c>
      <c r="M467">
        <v>0.56289999999999996</v>
      </c>
      <c r="N467">
        <v>10</v>
      </c>
      <c r="P467">
        <f>COUNTIFS(keyword_comparison[record_identifier],keyword_comparison[[#This Row],[record_identifier]],keyword_comparison[Review],"&lt;&gt;")</f>
        <v>0</v>
      </c>
      <c r="Q467" cm="1">
        <f t="array" ref="Q467">SUMPRODUCT((keyword_comparison[record_identifier]=keyword_comparison[[#This Row],[record_identifier]])*(LEN(keyword_comparison[keyword_matcher_output])&gt;0))</f>
        <v>0</v>
      </c>
    </row>
    <row r="468" spans="1:17" x14ac:dyDescent="0.25">
      <c r="A468" t="s">
        <v>510</v>
      </c>
      <c r="B468" t="s">
        <v>511</v>
      </c>
      <c r="C468" t="s">
        <v>512</v>
      </c>
      <c r="D468" t="s">
        <v>20</v>
      </c>
      <c r="E468" t="s">
        <v>33</v>
      </c>
      <c r="H468" t="s">
        <v>54</v>
      </c>
      <c r="J468" t="s">
        <v>519</v>
      </c>
      <c r="K468" t="s">
        <v>520</v>
      </c>
      <c r="M468">
        <v>0.38040000000000002</v>
      </c>
      <c r="N468">
        <v>11</v>
      </c>
      <c r="P468">
        <f>COUNTIFS(keyword_comparison[record_identifier],keyword_comparison[[#This Row],[record_identifier]],keyword_comparison[Review],"&lt;&gt;")</f>
        <v>0</v>
      </c>
      <c r="Q468" cm="1">
        <f t="array" ref="Q468">SUMPRODUCT((keyword_comparison[record_identifier]=keyword_comparison[[#This Row],[record_identifier]])*(LEN(keyword_comparison[keyword_matcher_output])&gt;0))</f>
        <v>0</v>
      </c>
    </row>
    <row r="469" spans="1:17" x14ac:dyDescent="0.25">
      <c r="A469" t="s">
        <v>510</v>
      </c>
      <c r="B469" t="s">
        <v>511</v>
      </c>
      <c r="C469" t="s">
        <v>512</v>
      </c>
      <c r="D469" t="s">
        <v>20</v>
      </c>
      <c r="E469" t="s">
        <v>33</v>
      </c>
      <c r="H469" t="s">
        <v>54</v>
      </c>
      <c r="J469" t="s">
        <v>138</v>
      </c>
      <c r="K469" t="s">
        <v>139</v>
      </c>
      <c r="M469">
        <v>0.2712</v>
      </c>
      <c r="N469">
        <v>12</v>
      </c>
      <c r="P469">
        <f>COUNTIFS(keyword_comparison[record_identifier],keyword_comparison[[#This Row],[record_identifier]],keyword_comparison[Review],"&lt;&gt;")</f>
        <v>0</v>
      </c>
      <c r="Q469" cm="1">
        <f t="array" ref="Q469">SUMPRODUCT((keyword_comparison[record_identifier]=keyword_comparison[[#This Row],[record_identifier]])*(LEN(keyword_comparison[keyword_matcher_output])&gt;0))</f>
        <v>0</v>
      </c>
    </row>
    <row r="470" spans="1:17" x14ac:dyDescent="0.25">
      <c r="A470" t="s">
        <v>510</v>
      </c>
      <c r="B470" t="s">
        <v>511</v>
      </c>
      <c r="C470" t="s">
        <v>512</v>
      </c>
      <c r="D470" t="s">
        <v>20</v>
      </c>
      <c r="E470" t="s">
        <v>33</v>
      </c>
      <c r="H470" t="s">
        <v>54</v>
      </c>
      <c r="J470" t="s">
        <v>521</v>
      </c>
      <c r="K470" t="s">
        <v>522</v>
      </c>
      <c r="M470">
        <v>0.2114</v>
      </c>
      <c r="N470">
        <v>13</v>
      </c>
      <c r="P470">
        <f>COUNTIFS(keyword_comparison[record_identifier],keyword_comparison[[#This Row],[record_identifier]],keyword_comparison[Review],"&lt;&gt;")</f>
        <v>0</v>
      </c>
      <c r="Q470" cm="1">
        <f t="array" ref="Q470">SUMPRODUCT((keyword_comparison[record_identifier]=keyword_comparison[[#This Row],[record_identifier]])*(LEN(keyword_comparison[keyword_matcher_output])&gt;0))</f>
        <v>0</v>
      </c>
    </row>
    <row r="471" spans="1:17" x14ac:dyDescent="0.25">
      <c r="A471" t="s">
        <v>510</v>
      </c>
      <c r="B471" t="s">
        <v>511</v>
      </c>
      <c r="C471" t="s">
        <v>512</v>
      </c>
      <c r="D471" t="s">
        <v>20</v>
      </c>
      <c r="E471" t="s">
        <v>33</v>
      </c>
      <c r="H471" t="s">
        <v>54</v>
      </c>
      <c r="J471" t="s">
        <v>523</v>
      </c>
      <c r="K471" t="s">
        <v>524</v>
      </c>
      <c r="M471">
        <v>0.1048</v>
      </c>
      <c r="N471">
        <v>14</v>
      </c>
      <c r="P471">
        <f>COUNTIFS(keyword_comparison[record_identifier],keyword_comparison[[#This Row],[record_identifier]],keyword_comparison[Review],"&lt;&gt;")</f>
        <v>0</v>
      </c>
      <c r="Q471" cm="1">
        <f t="array" ref="Q471">SUMPRODUCT((keyword_comparison[record_identifier]=keyword_comparison[[#This Row],[record_identifier]])*(LEN(keyword_comparison[keyword_matcher_output])&gt;0))</f>
        <v>0</v>
      </c>
    </row>
    <row r="472" spans="1:17" x14ac:dyDescent="0.25">
      <c r="A472" t="s">
        <v>510</v>
      </c>
      <c r="B472" t="s">
        <v>511</v>
      </c>
      <c r="C472" t="s">
        <v>512</v>
      </c>
      <c r="D472" t="s">
        <v>20</v>
      </c>
      <c r="E472" t="s">
        <v>33</v>
      </c>
      <c r="H472" t="s">
        <v>54</v>
      </c>
      <c r="J472" t="s">
        <v>525</v>
      </c>
      <c r="K472" t="s">
        <v>137</v>
      </c>
      <c r="M472">
        <v>9.8799999999999999E-2</v>
      </c>
      <c r="N472">
        <v>15</v>
      </c>
      <c r="P472">
        <f>COUNTIFS(keyword_comparison[record_identifier],keyword_comparison[[#This Row],[record_identifier]],keyword_comparison[Review],"&lt;&gt;")</f>
        <v>0</v>
      </c>
      <c r="Q472" cm="1">
        <f t="array" ref="Q472">SUMPRODUCT((keyword_comparison[record_identifier]=keyword_comparison[[#This Row],[record_identifier]])*(LEN(keyword_comparison[keyword_matcher_output])&gt;0))</f>
        <v>0</v>
      </c>
    </row>
    <row r="473" spans="1:17" x14ac:dyDescent="0.25">
      <c r="A473" t="s">
        <v>510</v>
      </c>
      <c r="B473" t="s">
        <v>511</v>
      </c>
      <c r="C473" t="s">
        <v>512</v>
      </c>
      <c r="D473" t="s">
        <v>20</v>
      </c>
      <c r="E473" t="s">
        <v>33</v>
      </c>
      <c r="H473" t="s">
        <v>54</v>
      </c>
      <c r="J473" t="s">
        <v>412</v>
      </c>
      <c r="K473" t="s">
        <v>413</v>
      </c>
      <c r="M473">
        <v>7.6300000000000007E-2</v>
      </c>
      <c r="N473">
        <v>16</v>
      </c>
      <c r="P473">
        <f>COUNTIFS(keyword_comparison[record_identifier],keyword_comparison[[#This Row],[record_identifier]],keyword_comparison[Review],"&lt;&gt;")</f>
        <v>0</v>
      </c>
      <c r="Q473" cm="1">
        <f t="array" ref="Q473">SUMPRODUCT((keyword_comparison[record_identifier]=keyword_comparison[[#This Row],[record_identifier]])*(LEN(keyword_comparison[keyword_matcher_output])&gt;0))</f>
        <v>0</v>
      </c>
    </row>
    <row r="474" spans="1:17" x14ac:dyDescent="0.25">
      <c r="A474" t="s">
        <v>510</v>
      </c>
      <c r="B474" t="s">
        <v>511</v>
      </c>
      <c r="C474" t="s">
        <v>512</v>
      </c>
      <c r="D474" t="s">
        <v>20</v>
      </c>
      <c r="E474" t="s">
        <v>48</v>
      </c>
      <c r="H474" t="s">
        <v>54</v>
      </c>
      <c r="J474" t="s">
        <v>248</v>
      </c>
      <c r="K474" t="s">
        <v>249</v>
      </c>
      <c r="P474">
        <f>COUNTIFS(keyword_comparison[record_identifier],keyword_comparison[[#This Row],[record_identifier]],keyword_comparison[Review],"&lt;&gt;")</f>
        <v>0</v>
      </c>
      <c r="Q474" cm="1">
        <f t="array" ref="Q474">SUMPRODUCT((keyword_comparison[record_identifier]=keyword_comparison[[#This Row],[record_identifier]])*(LEN(keyword_comparison[keyword_matcher_output])&gt;0))</f>
        <v>0</v>
      </c>
    </row>
    <row r="475" spans="1:17" x14ac:dyDescent="0.25">
      <c r="A475" t="s">
        <v>510</v>
      </c>
      <c r="B475" t="s">
        <v>511</v>
      </c>
      <c r="C475" t="s">
        <v>512</v>
      </c>
      <c r="D475" t="s">
        <v>20</v>
      </c>
      <c r="E475" t="s">
        <v>48</v>
      </c>
      <c r="H475" t="s">
        <v>54</v>
      </c>
      <c r="J475" t="s">
        <v>233</v>
      </c>
      <c r="K475" t="s">
        <v>234</v>
      </c>
      <c r="P475">
        <f>COUNTIFS(keyword_comparison[record_identifier],keyword_comparison[[#This Row],[record_identifier]],keyword_comparison[Review],"&lt;&gt;")</f>
        <v>0</v>
      </c>
      <c r="Q475" cm="1">
        <f t="array" ref="Q475">SUMPRODUCT((keyword_comparison[record_identifier]=keyword_comparison[[#This Row],[record_identifier]])*(LEN(keyword_comparison[keyword_matcher_output])&gt;0))</f>
        <v>0</v>
      </c>
    </row>
    <row r="476" spans="1:17" x14ac:dyDescent="0.25">
      <c r="A476" t="s">
        <v>510</v>
      </c>
      <c r="B476" t="s">
        <v>511</v>
      </c>
      <c r="C476" t="s">
        <v>512</v>
      </c>
      <c r="D476" t="s">
        <v>20</v>
      </c>
      <c r="E476" t="s">
        <v>48</v>
      </c>
      <c r="H476" t="s">
        <v>54</v>
      </c>
      <c r="J476" t="s">
        <v>279</v>
      </c>
      <c r="K476" t="s">
        <v>280</v>
      </c>
      <c r="P476">
        <f>COUNTIFS(keyword_comparison[record_identifier],keyword_comparison[[#This Row],[record_identifier]],keyword_comparison[Review],"&lt;&gt;")</f>
        <v>0</v>
      </c>
      <c r="Q476" cm="1">
        <f t="array" ref="Q476">SUMPRODUCT((keyword_comparison[record_identifier]=keyword_comparison[[#This Row],[record_identifier]])*(LEN(keyword_comparison[keyword_matcher_output])&gt;0))</f>
        <v>0</v>
      </c>
    </row>
    <row r="477" spans="1:17" x14ac:dyDescent="0.25">
      <c r="A477" t="s">
        <v>510</v>
      </c>
      <c r="B477" t="s">
        <v>511</v>
      </c>
      <c r="C477" t="s">
        <v>512</v>
      </c>
      <c r="D477" t="s">
        <v>20</v>
      </c>
      <c r="E477" t="s">
        <v>48</v>
      </c>
      <c r="H477" t="s">
        <v>54</v>
      </c>
      <c r="J477" t="s">
        <v>84</v>
      </c>
      <c r="K477" t="s">
        <v>85</v>
      </c>
      <c r="P477">
        <f>COUNTIFS(keyword_comparison[record_identifier],keyword_comparison[[#This Row],[record_identifier]],keyword_comparison[Review],"&lt;&gt;")</f>
        <v>0</v>
      </c>
      <c r="Q477" cm="1">
        <f t="array" ref="Q477">SUMPRODUCT((keyword_comparison[record_identifier]=keyword_comparison[[#This Row],[record_identifier]])*(LEN(keyword_comparison[keyword_matcher_output])&gt;0))</f>
        <v>0</v>
      </c>
    </row>
    <row r="478" spans="1:17" x14ac:dyDescent="0.25">
      <c r="A478" t="s">
        <v>510</v>
      </c>
      <c r="B478" t="s">
        <v>511</v>
      </c>
      <c r="C478" t="s">
        <v>512</v>
      </c>
      <c r="D478" t="s">
        <v>20</v>
      </c>
      <c r="E478" t="s">
        <v>48</v>
      </c>
      <c r="H478" t="s">
        <v>54</v>
      </c>
      <c r="J478" t="s">
        <v>407</v>
      </c>
      <c r="K478" t="s">
        <v>408</v>
      </c>
      <c r="P478">
        <f>COUNTIFS(keyword_comparison[record_identifier],keyword_comparison[[#This Row],[record_identifier]],keyword_comparison[Review],"&lt;&gt;")</f>
        <v>0</v>
      </c>
      <c r="Q478" cm="1">
        <f t="array" ref="Q478">SUMPRODUCT((keyword_comparison[record_identifier]=keyword_comparison[[#This Row],[record_identifier]])*(LEN(keyword_comparison[keyword_matcher_output])&gt;0))</f>
        <v>0</v>
      </c>
    </row>
    <row r="479" spans="1:17" x14ac:dyDescent="0.25">
      <c r="A479" t="s">
        <v>510</v>
      </c>
      <c r="B479" t="s">
        <v>511</v>
      </c>
      <c r="C479" t="s">
        <v>512</v>
      </c>
      <c r="D479" t="s">
        <v>20</v>
      </c>
      <c r="E479" t="s">
        <v>48</v>
      </c>
      <c r="H479" t="s">
        <v>54</v>
      </c>
      <c r="J479" t="s">
        <v>526</v>
      </c>
      <c r="K479" t="s">
        <v>527</v>
      </c>
      <c r="P479">
        <f>COUNTIFS(keyword_comparison[record_identifier],keyword_comparison[[#This Row],[record_identifier]],keyword_comparison[Review],"&lt;&gt;")</f>
        <v>0</v>
      </c>
      <c r="Q479" cm="1">
        <f t="array" ref="Q479">SUMPRODUCT((keyword_comparison[record_identifier]=keyword_comparison[[#This Row],[record_identifier]])*(LEN(keyword_comparison[keyword_matcher_output])&gt;0))</f>
        <v>0</v>
      </c>
    </row>
    <row r="480" spans="1:17" x14ac:dyDescent="0.25">
      <c r="A480" t="s">
        <v>510</v>
      </c>
      <c r="B480" t="s">
        <v>511</v>
      </c>
      <c r="C480" t="s">
        <v>512</v>
      </c>
      <c r="D480" t="s">
        <v>20</v>
      </c>
      <c r="E480" t="s">
        <v>48</v>
      </c>
      <c r="H480" t="s">
        <v>54</v>
      </c>
      <c r="J480" t="s">
        <v>140</v>
      </c>
      <c r="K480" t="s">
        <v>141</v>
      </c>
      <c r="P480">
        <f>COUNTIFS(keyword_comparison[record_identifier],keyword_comparison[[#This Row],[record_identifier]],keyword_comparison[Review],"&lt;&gt;")</f>
        <v>0</v>
      </c>
      <c r="Q480" cm="1">
        <f t="array" ref="Q480">SUMPRODUCT((keyword_comparison[record_identifier]=keyword_comparison[[#This Row],[record_identifier]])*(LEN(keyword_comparison[keyword_matcher_output])&gt;0))</f>
        <v>0</v>
      </c>
    </row>
    <row r="481" spans="1:17" x14ac:dyDescent="0.25">
      <c r="A481" t="s">
        <v>510</v>
      </c>
      <c r="B481" t="s">
        <v>511</v>
      </c>
      <c r="C481" t="s">
        <v>512</v>
      </c>
      <c r="D481" t="s">
        <v>20</v>
      </c>
      <c r="E481" t="s">
        <v>48</v>
      </c>
      <c r="H481" t="s">
        <v>54</v>
      </c>
      <c r="J481" t="s">
        <v>528</v>
      </c>
      <c r="K481" t="s">
        <v>529</v>
      </c>
      <c r="P481">
        <f>COUNTIFS(keyword_comparison[record_identifier],keyword_comparison[[#This Row],[record_identifier]],keyword_comparison[Review],"&lt;&gt;")</f>
        <v>0</v>
      </c>
      <c r="Q481" cm="1">
        <f t="array" ref="Q481">SUMPRODUCT((keyword_comparison[record_identifier]=keyword_comparison[[#This Row],[record_identifier]])*(LEN(keyword_comparison[keyword_matcher_output])&gt;0))</f>
        <v>0</v>
      </c>
    </row>
    <row r="482" spans="1:17" x14ac:dyDescent="0.25">
      <c r="A482" t="s">
        <v>510</v>
      </c>
      <c r="B482" t="s">
        <v>511</v>
      </c>
      <c r="C482" t="s">
        <v>512</v>
      </c>
      <c r="D482" t="s">
        <v>20</v>
      </c>
      <c r="E482" t="s">
        <v>48</v>
      </c>
      <c r="H482" t="s">
        <v>54</v>
      </c>
      <c r="J482" t="s">
        <v>138</v>
      </c>
      <c r="K482" t="s">
        <v>139</v>
      </c>
      <c r="P482">
        <f>COUNTIFS(keyword_comparison[record_identifier],keyword_comparison[[#This Row],[record_identifier]],keyword_comparison[Review],"&lt;&gt;")</f>
        <v>0</v>
      </c>
      <c r="Q482" cm="1">
        <f t="array" ref="Q482">SUMPRODUCT((keyword_comparison[record_identifier]=keyword_comparison[[#This Row],[record_identifier]])*(LEN(keyword_comparison[keyword_matcher_output])&gt;0))</f>
        <v>0</v>
      </c>
    </row>
    <row r="483" spans="1:17" x14ac:dyDescent="0.25">
      <c r="A483" t="s">
        <v>510</v>
      </c>
      <c r="B483" t="s">
        <v>511</v>
      </c>
      <c r="C483" t="s">
        <v>512</v>
      </c>
      <c r="D483" t="s">
        <v>20</v>
      </c>
      <c r="E483" t="s">
        <v>53</v>
      </c>
      <c r="F483" t="s">
        <v>54</v>
      </c>
      <c r="G483" t="s">
        <v>54</v>
      </c>
      <c r="H483" t="s">
        <v>54</v>
      </c>
      <c r="J483" t="s">
        <v>233</v>
      </c>
      <c r="K483" t="s">
        <v>234</v>
      </c>
      <c r="O483">
        <v>1</v>
      </c>
      <c r="P483">
        <f>COUNTIFS(keyword_comparison[record_identifier],keyword_comparison[[#This Row],[record_identifier]],keyword_comparison[Review],"&lt;&gt;")</f>
        <v>0</v>
      </c>
      <c r="Q483" cm="1">
        <f t="array" ref="Q483">SUMPRODUCT((keyword_comparison[record_identifier]=keyword_comparison[[#This Row],[record_identifier]])*(LEN(keyword_comparison[keyword_matcher_output])&gt;0))</f>
        <v>0</v>
      </c>
    </row>
    <row r="484" spans="1:17" x14ac:dyDescent="0.25">
      <c r="A484" t="s">
        <v>510</v>
      </c>
      <c r="B484" t="s">
        <v>511</v>
      </c>
      <c r="C484" t="s">
        <v>512</v>
      </c>
      <c r="D484" t="s">
        <v>20</v>
      </c>
      <c r="E484" t="s">
        <v>53</v>
      </c>
      <c r="F484" t="s">
        <v>54</v>
      </c>
      <c r="G484" t="s">
        <v>54</v>
      </c>
      <c r="H484" t="s">
        <v>54</v>
      </c>
      <c r="J484" t="s">
        <v>407</v>
      </c>
      <c r="K484" t="s">
        <v>408</v>
      </c>
      <c r="O484">
        <v>2</v>
      </c>
      <c r="P484">
        <f>COUNTIFS(keyword_comparison[record_identifier],keyword_comparison[[#This Row],[record_identifier]],keyword_comparison[Review],"&lt;&gt;")</f>
        <v>0</v>
      </c>
      <c r="Q484" cm="1">
        <f t="array" ref="Q484">SUMPRODUCT((keyword_comparison[record_identifier]=keyword_comparison[[#This Row],[record_identifier]])*(LEN(keyword_comparison[keyword_matcher_output])&gt;0))</f>
        <v>0</v>
      </c>
    </row>
    <row r="485" spans="1:17" x14ac:dyDescent="0.25">
      <c r="A485" t="s">
        <v>510</v>
      </c>
      <c r="B485" t="s">
        <v>511</v>
      </c>
      <c r="C485" t="s">
        <v>512</v>
      </c>
      <c r="D485" t="s">
        <v>20</v>
      </c>
      <c r="E485" t="s">
        <v>53</v>
      </c>
      <c r="F485" t="s">
        <v>54</v>
      </c>
      <c r="G485" t="s">
        <v>54</v>
      </c>
      <c r="H485" t="s">
        <v>54</v>
      </c>
      <c r="J485" t="s">
        <v>248</v>
      </c>
      <c r="K485" t="s">
        <v>249</v>
      </c>
      <c r="O485">
        <v>3</v>
      </c>
      <c r="P485">
        <f>COUNTIFS(keyword_comparison[record_identifier],keyword_comparison[[#This Row],[record_identifier]],keyword_comparison[Review],"&lt;&gt;")</f>
        <v>0</v>
      </c>
      <c r="Q485" cm="1">
        <f t="array" ref="Q485">SUMPRODUCT((keyword_comparison[record_identifier]=keyword_comparison[[#This Row],[record_identifier]])*(LEN(keyword_comparison[keyword_matcher_output])&gt;0))</f>
        <v>0</v>
      </c>
    </row>
    <row r="486" spans="1:17" x14ac:dyDescent="0.25">
      <c r="A486" t="s">
        <v>510</v>
      </c>
      <c r="B486" t="s">
        <v>511</v>
      </c>
      <c r="C486" t="s">
        <v>512</v>
      </c>
      <c r="D486" t="s">
        <v>20</v>
      </c>
      <c r="E486" t="s">
        <v>53</v>
      </c>
      <c r="F486" t="s">
        <v>54</v>
      </c>
      <c r="G486" t="s">
        <v>54</v>
      </c>
      <c r="H486" t="s">
        <v>54</v>
      </c>
      <c r="J486" t="s">
        <v>89</v>
      </c>
      <c r="K486" t="s">
        <v>90</v>
      </c>
      <c r="O486">
        <v>4</v>
      </c>
      <c r="P486">
        <f>COUNTIFS(keyword_comparison[record_identifier],keyword_comparison[[#This Row],[record_identifier]],keyword_comparison[Review],"&lt;&gt;")</f>
        <v>0</v>
      </c>
      <c r="Q486" cm="1">
        <f t="array" ref="Q486">SUMPRODUCT((keyword_comparison[record_identifier]=keyword_comparison[[#This Row],[record_identifier]])*(LEN(keyword_comparison[keyword_matcher_output])&gt;0))</f>
        <v>0</v>
      </c>
    </row>
    <row r="487" spans="1:17" x14ac:dyDescent="0.25">
      <c r="A487" t="s">
        <v>510</v>
      </c>
      <c r="B487" t="s">
        <v>511</v>
      </c>
      <c r="C487" t="s">
        <v>512</v>
      </c>
      <c r="D487" t="s">
        <v>20</v>
      </c>
      <c r="E487" t="s">
        <v>53</v>
      </c>
      <c r="F487" t="s">
        <v>54</v>
      </c>
      <c r="G487" t="s">
        <v>54</v>
      </c>
      <c r="H487" t="s">
        <v>54</v>
      </c>
      <c r="J487" t="s">
        <v>528</v>
      </c>
      <c r="K487" t="s">
        <v>529</v>
      </c>
      <c r="O487">
        <v>5</v>
      </c>
      <c r="P487">
        <f>COUNTIFS(keyword_comparison[record_identifier],keyword_comparison[[#This Row],[record_identifier]],keyword_comparison[Review],"&lt;&gt;")</f>
        <v>0</v>
      </c>
      <c r="Q487" cm="1">
        <f t="array" ref="Q487">SUMPRODUCT((keyword_comparison[record_identifier]=keyword_comparison[[#This Row],[record_identifier]])*(LEN(keyword_comparison[keyword_matcher_output])&gt;0))</f>
        <v>0</v>
      </c>
    </row>
    <row r="488" spans="1:17" x14ac:dyDescent="0.25">
      <c r="A488" t="s">
        <v>510</v>
      </c>
      <c r="B488" t="s">
        <v>511</v>
      </c>
      <c r="C488" t="s">
        <v>512</v>
      </c>
      <c r="D488" t="s">
        <v>20</v>
      </c>
      <c r="E488" t="s">
        <v>53</v>
      </c>
      <c r="F488" t="s">
        <v>54</v>
      </c>
      <c r="G488" t="s">
        <v>54</v>
      </c>
      <c r="H488" t="s">
        <v>54</v>
      </c>
      <c r="J488" t="s">
        <v>138</v>
      </c>
      <c r="K488" t="s">
        <v>139</v>
      </c>
      <c r="O488">
        <v>6</v>
      </c>
      <c r="P488">
        <f>COUNTIFS(keyword_comparison[record_identifier],keyword_comparison[[#This Row],[record_identifier]],keyword_comparison[Review],"&lt;&gt;")</f>
        <v>0</v>
      </c>
      <c r="Q488" cm="1">
        <f t="array" ref="Q488">SUMPRODUCT((keyword_comparison[record_identifier]=keyword_comparison[[#This Row],[record_identifier]])*(LEN(keyword_comparison[keyword_matcher_output])&gt;0))</f>
        <v>0</v>
      </c>
    </row>
    <row r="489" spans="1:17" x14ac:dyDescent="0.25">
      <c r="A489" t="s">
        <v>510</v>
      </c>
      <c r="B489" t="s">
        <v>511</v>
      </c>
      <c r="C489" t="s">
        <v>512</v>
      </c>
      <c r="D489" t="s">
        <v>20</v>
      </c>
      <c r="E489" t="s">
        <v>53</v>
      </c>
      <c r="F489" t="s">
        <v>54</v>
      </c>
      <c r="G489" t="s">
        <v>54</v>
      </c>
      <c r="H489" t="s">
        <v>54</v>
      </c>
      <c r="J489" t="s">
        <v>526</v>
      </c>
      <c r="K489" t="s">
        <v>527</v>
      </c>
      <c r="O489">
        <v>7</v>
      </c>
      <c r="P489">
        <f>COUNTIFS(keyword_comparison[record_identifier],keyword_comparison[[#This Row],[record_identifier]],keyword_comparison[Review],"&lt;&gt;")</f>
        <v>0</v>
      </c>
      <c r="Q489" cm="1">
        <f t="array" ref="Q489">SUMPRODUCT((keyword_comparison[record_identifier]=keyword_comparison[[#This Row],[record_identifier]])*(LEN(keyword_comparison[keyword_matcher_output])&gt;0))</f>
        <v>0</v>
      </c>
    </row>
    <row r="490" spans="1:17" x14ac:dyDescent="0.25">
      <c r="A490" t="s">
        <v>510</v>
      </c>
      <c r="B490" t="s">
        <v>511</v>
      </c>
      <c r="C490" t="s">
        <v>512</v>
      </c>
      <c r="D490" t="s">
        <v>20</v>
      </c>
      <c r="E490" t="s">
        <v>53</v>
      </c>
      <c r="F490" t="s">
        <v>54</v>
      </c>
      <c r="G490" t="s">
        <v>54</v>
      </c>
      <c r="H490" t="s">
        <v>54</v>
      </c>
      <c r="J490" t="s">
        <v>55</v>
      </c>
      <c r="K490" t="s">
        <v>56</v>
      </c>
      <c r="O490">
        <v>8</v>
      </c>
      <c r="P490">
        <f>COUNTIFS(keyword_comparison[record_identifier],keyword_comparison[[#This Row],[record_identifier]],keyword_comparison[Review],"&lt;&gt;")</f>
        <v>0</v>
      </c>
      <c r="Q490" cm="1">
        <f t="array" ref="Q490">SUMPRODUCT((keyword_comparison[record_identifier]=keyword_comparison[[#This Row],[record_identifier]])*(LEN(keyword_comparison[keyword_matcher_output])&gt;0))</f>
        <v>0</v>
      </c>
    </row>
    <row r="491" spans="1:17" x14ac:dyDescent="0.25">
      <c r="A491" t="s">
        <v>510</v>
      </c>
      <c r="B491" t="s">
        <v>511</v>
      </c>
      <c r="C491" t="s">
        <v>512</v>
      </c>
      <c r="D491" t="s">
        <v>20</v>
      </c>
      <c r="E491" t="s">
        <v>53</v>
      </c>
      <c r="F491" t="s">
        <v>54</v>
      </c>
      <c r="G491" t="s">
        <v>54</v>
      </c>
      <c r="H491" t="s">
        <v>54</v>
      </c>
      <c r="J491" t="s">
        <v>61</v>
      </c>
      <c r="K491" t="s">
        <v>62</v>
      </c>
      <c r="O491">
        <v>9</v>
      </c>
      <c r="P491">
        <f>COUNTIFS(keyword_comparison[record_identifier],keyword_comparison[[#This Row],[record_identifier]],keyword_comparison[Review],"&lt;&gt;")</f>
        <v>0</v>
      </c>
      <c r="Q491" cm="1">
        <f t="array" ref="Q491">SUMPRODUCT((keyword_comparison[record_identifier]=keyword_comparison[[#This Row],[record_identifier]])*(LEN(keyword_comparison[keyword_matcher_output])&gt;0))</f>
        <v>0</v>
      </c>
    </row>
    <row r="492" spans="1:17" x14ac:dyDescent="0.25">
      <c r="A492" t="s">
        <v>510</v>
      </c>
      <c r="B492" t="s">
        <v>511</v>
      </c>
      <c r="C492" t="s">
        <v>512</v>
      </c>
      <c r="D492" t="s">
        <v>20</v>
      </c>
      <c r="E492" t="s">
        <v>53</v>
      </c>
      <c r="F492" t="s">
        <v>54</v>
      </c>
      <c r="G492" t="s">
        <v>54</v>
      </c>
      <c r="H492" t="s">
        <v>54</v>
      </c>
      <c r="J492" t="s">
        <v>36</v>
      </c>
      <c r="K492" t="s">
        <v>37</v>
      </c>
      <c r="O492">
        <v>10</v>
      </c>
      <c r="P492">
        <f>COUNTIFS(keyword_comparison[record_identifier],keyword_comparison[[#This Row],[record_identifier]],keyword_comparison[Review],"&lt;&gt;")</f>
        <v>0</v>
      </c>
      <c r="Q492" cm="1">
        <f t="array" ref="Q492">SUMPRODUCT((keyword_comparison[record_identifier]=keyword_comparison[[#This Row],[record_identifier]])*(LEN(keyword_comparison[keyword_matcher_output])&gt;0))</f>
        <v>0</v>
      </c>
    </row>
    <row r="493" spans="1:17" x14ac:dyDescent="0.25">
      <c r="A493" t="s">
        <v>530</v>
      </c>
      <c r="B493" t="s">
        <v>531</v>
      </c>
      <c r="C493" t="s">
        <v>532</v>
      </c>
      <c r="D493" t="s">
        <v>20</v>
      </c>
      <c r="E493" t="s">
        <v>21</v>
      </c>
      <c r="F493" t="s">
        <v>216</v>
      </c>
      <c r="G493" t="s">
        <v>72</v>
      </c>
      <c r="H493" t="s">
        <v>54</v>
      </c>
      <c r="P493">
        <f>COUNTIFS(keyword_comparison[record_identifier],keyword_comparison[[#This Row],[record_identifier]],keyword_comparison[Review],"&lt;&gt;")</f>
        <v>0</v>
      </c>
      <c r="Q493" cm="1">
        <f t="array" ref="Q493">SUMPRODUCT((keyword_comparison[record_identifier]=keyword_comparison[[#This Row],[record_identifier]])*(LEN(keyword_comparison[keyword_matcher_output])&gt;0))</f>
        <v>2</v>
      </c>
    </row>
    <row r="494" spans="1:17" x14ac:dyDescent="0.25">
      <c r="A494" t="s">
        <v>530</v>
      </c>
      <c r="B494" t="s">
        <v>531</v>
      </c>
      <c r="C494" t="s">
        <v>532</v>
      </c>
      <c r="D494" t="s">
        <v>20</v>
      </c>
      <c r="E494" t="s">
        <v>21</v>
      </c>
      <c r="F494" t="s">
        <v>32</v>
      </c>
      <c r="G494" t="s">
        <v>31</v>
      </c>
      <c r="H494" t="s">
        <v>54</v>
      </c>
      <c r="P494">
        <f>COUNTIFS(keyword_comparison[record_identifier],keyword_comparison[[#This Row],[record_identifier]],keyword_comparison[Review],"&lt;&gt;")</f>
        <v>0</v>
      </c>
      <c r="Q494" cm="1">
        <f t="array" ref="Q494">SUMPRODUCT((keyword_comparison[record_identifier]=keyword_comparison[[#This Row],[record_identifier]])*(LEN(keyword_comparison[keyword_matcher_output])&gt;0))</f>
        <v>2</v>
      </c>
    </row>
    <row r="495" spans="1:17" x14ac:dyDescent="0.25">
      <c r="A495" t="s">
        <v>530</v>
      </c>
      <c r="B495" t="s">
        <v>531</v>
      </c>
      <c r="C495" t="s">
        <v>532</v>
      </c>
      <c r="D495" t="s">
        <v>20</v>
      </c>
      <c r="E495" t="s">
        <v>21</v>
      </c>
      <c r="F495" t="s">
        <v>533</v>
      </c>
      <c r="G495" t="s">
        <v>23</v>
      </c>
      <c r="H495" t="s">
        <v>54</v>
      </c>
      <c r="P495">
        <f>COUNTIFS(keyword_comparison[record_identifier],keyword_comparison[[#This Row],[record_identifier]],keyword_comparison[Review],"&lt;&gt;")</f>
        <v>0</v>
      </c>
      <c r="Q495" cm="1">
        <f t="array" ref="Q495">SUMPRODUCT((keyword_comparison[record_identifier]=keyword_comparison[[#This Row],[record_identifier]])*(LEN(keyword_comparison[keyword_matcher_output])&gt;0))</f>
        <v>2</v>
      </c>
    </row>
    <row r="496" spans="1:17" x14ac:dyDescent="0.25">
      <c r="A496" t="s">
        <v>530</v>
      </c>
      <c r="B496" t="s">
        <v>531</v>
      </c>
      <c r="C496" t="s">
        <v>532</v>
      </c>
      <c r="D496" t="s">
        <v>20</v>
      </c>
      <c r="E496" t="s">
        <v>21</v>
      </c>
      <c r="F496" t="s">
        <v>534</v>
      </c>
      <c r="G496" t="s">
        <v>23</v>
      </c>
      <c r="H496" t="s">
        <v>54</v>
      </c>
      <c r="P496">
        <f>COUNTIFS(keyword_comparison[record_identifier],keyword_comparison[[#This Row],[record_identifier]],keyword_comparison[Review],"&lt;&gt;")</f>
        <v>0</v>
      </c>
      <c r="Q496" cm="1">
        <f t="array" ref="Q496">SUMPRODUCT((keyword_comparison[record_identifier]=keyword_comparison[[#This Row],[record_identifier]])*(LEN(keyword_comparison[keyword_matcher_output])&gt;0))</f>
        <v>2</v>
      </c>
    </row>
    <row r="497" spans="1:17" x14ac:dyDescent="0.25">
      <c r="A497" t="s">
        <v>530</v>
      </c>
      <c r="B497" t="s">
        <v>531</v>
      </c>
      <c r="C497" t="s">
        <v>532</v>
      </c>
      <c r="D497" t="s">
        <v>20</v>
      </c>
      <c r="E497" t="s">
        <v>21</v>
      </c>
      <c r="F497" t="s">
        <v>535</v>
      </c>
      <c r="G497" t="s">
        <v>23</v>
      </c>
      <c r="H497" t="s">
        <v>54</v>
      </c>
      <c r="P497">
        <f>COUNTIFS(keyword_comparison[record_identifier],keyword_comparison[[#This Row],[record_identifier]],keyword_comparison[Review],"&lt;&gt;")</f>
        <v>0</v>
      </c>
      <c r="Q497" cm="1">
        <f t="array" ref="Q497">SUMPRODUCT((keyword_comparison[record_identifier]=keyword_comparison[[#This Row],[record_identifier]])*(LEN(keyword_comparison[keyword_matcher_output])&gt;0))</f>
        <v>2</v>
      </c>
    </row>
    <row r="498" spans="1:17" x14ac:dyDescent="0.25">
      <c r="A498" t="s">
        <v>530</v>
      </c>
      <c r="B498" t="s">
        <v>531</v>
      </c>
      <c r="C498" t="s">
        <v>532</v>
      </c>
      <c r="D498" t="s">
        <v>20</v>
      </c>
      <c r="E498" t="s">
        <v>21</v>
      </c>
      <c r="F498" t="s">
        <v>244</v>
      </c>
      <c r="G498" t="s">
        <v>72</v>
      </c>
      <c r="H498" t="s">
        <v>54</v>
      </c>
      <c r="P498">
        <f>COUNTIFS(keyword_comparison[record_identifier],keyword_comparison[[#This Row],[record_identifier]],keyword_comparison[Review],"&lt;&gt;")</f>
        <v>0</v>
      </c>
      <c r="Q498" cm="1">
        <f t="array" ref="Q498">SUMPRODUCT((keyword_comparison[record_identifier]=keyword_comparison[[#This Row],[record_identifier]])*(LEN(keyword_comparison[keyword_matcher_output])&gt;0))</f>
        <v>2</v>
      </c>
    </row>
    <row r="499" spans="1:17" x14ac:dyDescent="0.25">
      <c r="A499" t="s">
        <v>530</v>
      </c>
      <c r="B499" t="s">
        <v>531</v>
      </c>
      <c r="C499" t="s">
        <v>532</v>
      </c>
      <c r="D499" t="s">
        <v>20</v>
      </c>
      <c r="E499" t="s">
        <v>21</v>
      </c>
      <c r="F499" t="s">
        <v>71</v>
      </c>
      <c r="G499" t="s">
        <v>72</v>
      </c>
      <c r="H499" t="s">
        <v>54</v>
      </c>
      <c r="P499">
        <f>COUNTIFS(keyword_comparison[record_identifier],keyword_comparison[[#This Row],[record_identifier]],keyword_comparison[Review],"&lt;&gt;")</f>
        <v>0</v>
      </c>
      <c r="Q499" cm="1">
        <f t="array" ref="Q499">SUMPRODUCT((keyword_comparison[record_identifier]=keyword_comparison[[#This Row],[record_identifier]])*(LEN(keyword_comparison[keyword_matcher_output])&gt;0))</f>
        <v>2</v>
      </c>
    </row>
    <row r="500" spans="1:17" x14ac:dyDescent="0.25">
      <c r="A500" t="s">
        <v>530</v>
      </c>
      <c r="B500" t="s">
        <v>531</v>
      </c>
      <c r="C500" t="s">
        <v>532</v>
      </c>
      <c r="D500" t="s">
        <v>20</v>
      </c>
      <c r="E500" t="s">
        <v>21</v>
      </c>
      <c r="F500" t="s">
        <v>233</v>
      </c>
      <c r="G500" t="s">
        <v>23</v>
      </c>
      <c r="H500" t="s">
        <v>234</v>
      </c>
      <c r="P500">
        <f>COUNTIFS(keyword_comparison[record_identifier],keyword_comparison[[#This Row],[record_identifier]],keyword_comparison[Review],"&lt;&gt;")</f>
        <v>0</v>
      </c>
      <c r="Q500" cm="1">
        <f t="array" ref="Q500">SUMPRODUCT((keyword_comparison[record_identifier]=keyword_comparison[[#This Row],[record_identifier]])*(LEN(keyword_comparison[keyword_matcher_output])&gt;0))</f>
        <v>2</v>
      </c>
    </row>
    <row r="501" spans="1:17" x14ac:dyDescent="0.25">
      <c r="A501" t="s">
        <v>530</v>
      </c>
      <c r="B501" t="s">
        <v>531</v>
      </c>
      <c r="C501" t="s">
        <v>532</v>
      </c>
      <c r="D501" t="s">
        <v>20</v>
      </c>
      <c r="E501" t="s">
        <v>21</v>
      </c>
      <c r="F501" t="s">
        <v>536</v>
      </c>
      <c r="G501" t="s">
        <v>23</v>
      </c>
      <c r="H501" t="s">
        <v>54</v>
      </c>
      <c r="P501">
        <f>COUNTIFS(keyword_comparison[record_identifier],keyword_comparison[[#This Row],[record_identifier]],keyword_comparison[Review],"&lt;&gt;")</f>
        <v>0</v>
      </c>
      <c r="Q501" cm="1">
        <f t="array" ref="Q501">SUMPRODUCT((keyword_comparison[record_identifier]=keyword_comparison[[#This Row],[record_identifier]])*(LEN(keyword_comparison[keyword_matcher_output])&gt;0))</f>
        <v>2</v>
      </c>
    </row>
    <row r="502" spans="1:17" x14ac:dyDescent="0.25">
      <c r="A502" t="s">
        <v>530</v>
      </c>
      <c r="B502" t="s">
        <v>531</v>
      </c>
      <c r="C502" t="s">
        <v>532</v>
      </c>
      <c r="D502" t="s">
        <v>20</v>
      </c>
      <c r="E502" t="s">
        <v>21</v>
      </c>
      <c r="F502" t="s">
        <v>537</v>
      </c>
      <c r="G502" t="s">
        <v>23</v>
      </c>
      <c r="H502" t="s">
        <v>208</v>
      </c>
      <c r="P502">
        <f>COUNTIFS(keyword_comparison[record_identifier],keyword_comparison[[#This Row],[record_identifier]],keyword_comparison[Review],"&lt;&gt;")</f>
        <v>0</v>
      </c>
      <c r="Q502" cm="1">
        <f t="array" ref="Q502">SUMPRODUCT((keyword_comparison[record_identifier]=keyword_comparison[[#This Row],[record_identifier]])*(LEN(keyword_comparison[keyword_matcher_output])&gt;0))</f>
        <v>2</v>
      </c>
    </row>
    <row r="503" spans="1:17" x14ac:dyDescent="0.25">
      <c r="A503" t="s">
        <v>530</v>
      </c>
      <c r="B503" t="s">
        <v>531</v>
      </c>
      <c r="C503" t="s">
        <v>532</v>
      </c>
      <c r="D503" t="s">
        <v>20</v>
      </c>
      <c r="E503" t="s">
        <v>21</v>
      </c>
      <c r="F503" t="s">
        <v>67</v>
      </c>
      <c r="G503" t="s">
        <v>23</v>
      </c>
      <c r="H503" t="s">
        <v>54</v>
      </c>
      <c r="P503">
        <f>COUNTIFS(keyword_comparison[record_identifier],keyword_comparison[[#This Row],[record_identifier]],keyword_comparison[Review],"&lt;&gt;")</f>
        <v>0</v>
      </c>
      <c r="Q503" cm="1">
        <f t="array" ref="Q503">SUMPRODUCT((keyword_comparison[record_identifier]=keyword_comparison[[#This Row],[record_identifier]])*(LEN(keyword_comparison[keyword_matcher_output])&gt;0))</f>
        <v>2</v>
      </c>
    </row>
    <row r="504" spans="1:17" x14ac:dyDescent="0.25">
      <c r="A504" t="s">
        <v>530</v>
      </c>
      <c r="B504" t="s">
        <v>531</v>
      </c>
      <c r="C504" t="s">
        <v>532</v>
      </c>
      <c r="D504" t="s">
        <v>20</v>
      </c>
      <c r="E504" t="s">
        <v>21</v>
      </c>
      <c r="F504" t="s">
        <v>538</v>
      </c>
      <c r="G504" t="s">
        <v>23</v>
      </c>
      <c r="H504" t="s">
        <v>54</v>
      </c>
      <c r="P504">
        <f>COUNTIFS(keyword_comparison[record_identifier],keyword_comparison[[#This Row],[record_identifier]],keyword_comparison[Review],"&lt;&gt;")</f>
        <v>0</v>
      </c>
      <c r="Q504" cm="1">
        <f t="array" ref="Q504">SUMPRODUCT((keyword_comparison[record_identifier]=keyword_comparison[[#This Row],[record_identifier]])*(LEN(keyword_comparison[keyword_matcher_output])&gt;0))</f>
        <v>2</v>
      </c>
    </row>
    <row r="505" spans="1:17" x14ac:dyDescent="0.25">
      <c r="A505" t="s">
        <v>530</v>
      </c>
      <c r="B505" t="s">
        <v>531</v>
      </c>
      <c r="C505" t="s">
        <v>532</v>
      </c>
      <c r="D505" t="s">
        <v>20</v>
      </c>
      <c r="E505" t="s">
        <v>21</v>
      </c>
      <c r="F505" t="s">
        <v>539</v>
      </c>
      <c r="G505" t="s">
        <v>23</v>
      </c>
      <c r="H505" t="s">
        <v>54</v>
      </c>
      <c r="P505">
        <f>COUNTIFS(keyword_comparison[record_identifier],keyword_comparison[[#This Row],[record_identifier]],keyword_comparison[Review],"&lt;&gt;")</f>
        <v>0</v>
      </c>
      <c r="Q505" cm="1">
        <f t="array" ref="Q505">SUMPRODUCT((keyword_comparison[record_identifier]=keyword_comparison[[#This Row],[record_identifier]])*(LEN(keyword_comparison[keyword_matcher_output])&gt;0))</f>
        <v>2</v>
      </c>
    </row>
    <row r="506" spans="1:17" x14ac:dyDescent="0.25">
      <c r="A506" t="s">
        <v>530</v>
      </c>
      <c r="B506" t="s">
        <v>531</v>
      </c>
      <c r="C506" t="s">
        <v>532</v>
      </c>
      <c r="D506" t="s">
        <v>20</v>
      </c>
      <c r="E506" t="s">
        <v>21</v>
      </c>
      <c r="F506" t="s">
        <v>540</v>
      </c>
      <c r="G506" t="s">
        <v>23</v>
      </c>
      <c r="H506" t="s">
        <v>54</v>
      </c>
      <c r="P506">
        <f>COUNTIFS(keyword_comparison[record_identifier],keyword_comparison[[#This Row],[record_identifier]],keyword_comparison[Review],"&lt;&gt;")</f>
        <v>0</v>
      </c>
      <c r="Q506" cm="1">
        <f t="array" ref="Q506">SUMPRODUCT((keyword_comparison[record_identifier]=keyword_comparison[[#This Row],[record_identifier]])*(LEN(keyword_comparison[keyword_matcher_output])&gt;0))</f>
        <v>2</v>
      </c>
    </row>
    <row r="507" spans="1:17" x14ac:dyDescent="0.25">
      <c r="A507" t="s">
        <v>530</v>
      </c>
      <c r="B507" t="s">
        <v>531</v>
      </c>
      <c r="C507" t="s">
        <v>532</v>
      </c>
      <c r="D507" t="s">
        <v>20</v>
      </c>
      <c r="E507" t="s">
        <v>21</v>
      </c>
      <c r="F507" t="s">
        <v>541</v>
      </c>
      <c r="G507" t="s">
        <v>23</v>
      </c>
      <c r="H507" t="s">
        <v>54</v>
      </c>
      <c r="P507">
        <f>COUNTIFS(keyword_comparison[record_identifier],keyword_comparison[[#This Row],[record_identifier]],keyword_comparison[Review],"&lt;&gt;")</f>
        <v>0</v>
      </c>
      <c r="Q507" cm="1">
        <f t="array" ref="Q507">SUMPRODUCT((keyword_comparison[record_identifier]=keyword_comparison[[#This Row],[record_identifier]])*(LEN(keyword_comparison[keyword_matcher_output])&gt;0))</f>
        <v>2</v>
      </c>
    </row>
    <row r="508" spans="1:17" x14ac:dyDescent="0.25">
      <c r="A508" t="s">
        <v>530</v>
      </c>
      <c r="B508" t="s">
        <v>531</v>
      </c>
      <c r="C508" t="s">
        <v>532</v>
      </c>
      <c r="D508" t="s">
        <v>20</v>
      </c>
      <c r="E508" t="s">
        <v>21</v>
      </c>
      <c r="F508" t="s">
        <v>30</v>
      </c>
      <c r="G508" t="s">
        <v>31</v>
      </c>
      <c r="H508" t="s">
        <v>54</v>
      </c>
      <c r="P508">
        <f>COUNTIFS(keyword_comparison[record_identifier],keyword_comparison[[#This Row],[record_identifier]],keyword_comparison[Review],"&lt;&gt;")</f>
        <v>0</v>
      </c>
      <c r="Q508" cm="1">
        <f t="array" ref="Q508">SUMPRODUCT((keyword_comparison[record_identifier]=keyword_comparison[[#This Row],[record_identifier]])*(LEN(keyword_comparison[keyword_matcher_output])&gt;0))</f>
        <v>2</v>
      </c>
    </row>
    <row r="509" spans="1:17" x14ac:dyDescent="0.25">
      <c r="A509" t="s">
        <v>530</v>
      </c>
      <c r="B509" t="s">
        <v>531</v>
      </c>
      <c r="C509" t="s">
        <v>532</v>
      </c>
      <c r="D509" t="s">
        <v>20</v>
      </c>
      <c r="E509" t="s">
        <v>33</v>
      </c>
      <c r="H509" t="s">
        <v>54</v>
      </c>
      <c r="J509" t="s">
        <v>250</v>
      </c>
      <c r="K509" t="s">
        <v>251</v>
      </c>
      <c r="M509">
        <v>0.99890000000000001</v>
      </c>
      <c r="N509">
        <v>1</v>
      </c>
      <c r="P509">
        <f>COUNTIFS(keyword_comparison[record_identifier],keyword_comparison[[#This Row],[record_identifier]],keyword_comparison[Review],"&lt;&gt;")</f>
        <v>0</v>
      </c>
      <c r="Q509" cm="1">
        <f t="array" ref="Q509">SUMPRODUCT((keyword_comparison[record_identifier]=keyword_comparison[[#This Row],[record_identifier]])*(LEN(keyword_comparison[keyword_matcher_output])&gt;0))</f>
        <v>2</v>
      </c>
    </row>
    <row r="510" spans="1:17" x14ac:dyDescent="0.25">
      <c r="A510" t="s">
        <v>530</v>
      </c>
      <c r="B510" t="s">
        <v>531</v>
      </c>
      <c r="C510" t="s">
        <v>532</v>
      </c>
      <c r="D510" t="s">
        <v>20</v>
      </c>
      <c r="E510" t="s">
        <v>33</v>
      </c>
      <c r="H510" t="s">
        <v>54</v>
      </c>
      <c r="J510" t="s">
        <v>89</v>
      </c>
      <c r="K510" t="s">
        <v>90</v>
      </c>
      <c r="M510">
        <v>0.98899999999999999</v>
      </c>
      <c r="N510">
        <v>2</v>
      </c>
      <c r="P510">
        <f>COUNTIFS(keyword_comparison[record_identifier],keyword_comparison[[#This Row],[record_identifier]],keyword_comparison[Review],"&lt;&gt;")</f>
        <v>0</v>
      </c>
      <c r="Q510" cm="1">
        <f t="array" ref="Q510">SUMPRODUCT((keyword_comparison[record_identifier]=keyword_comparison[[#This Row],[record_identifier]])*(LEN(keyword_comparison[keyword_matcher_output])&gt;0))</f>
        <v>2</v>
      </c>
    </row>
    <row r="511" spans="1:17" x14ac:dyDescent="0.25">
      <c r="A511" t="s">
        <v>530</v>
      </c>
      <c r="B511" t="s">
        <v>531</v>
      </c>
      <c r="C511" t="s">
        <v>532</v>
      </c>
      <c r="D511" t="s">
        <v>20</v>
      </c>
      <c r="E511" t="s">
        <v>33</v>
      </c>
      <c r="H511" t="s">
        <v>54</v>
      </c>
      <c r="J511" t="s">
        <v>182</v>
      </c>
      <c r="K511" t="s">
        <v>183</v>
      </c>
      <c r="M511">
        <v>0.96609999999999996</v>
      </c>
      <c r="N511">
        <v>3</v>
      </c>
      <c r="P511">
        <f>COUNTIFS(keyword_comparison[record_identifier],keyword_comparison[[#This Row],[record_identifier]],keyword_comparison[Review],"&lt;&gt;")</f>
        <v>0</v>
      </c>
      <c r="Q511" cm="1">
        <f t="array" ref="Q511">SUMPRODUCT((keyword_comparison[record_identifier]=keyword_comparison[[#This Row],[record_identifier]])*(LEN(keyword_comparison[keyword_matcher_output])&gt;0))</f>
        <v>2</v>
      </c>
    </row>
    <row r="512" spans="1:17" x14ac:dyDescent="0.25">
      <c r="A512" t="s">
        <v>530</v>
      </c>
      <c r="B512" t="s">
        <v>531</v>
      </c>
      <c r="C512" t="s">
        <v>532</v>
      </c>
      <c r="D512" t="s">
        <v>20</v>
      </c>
      <c r="E512" t="s">
        <v>33</v>
      </c>
      <c r="H512" t="s">
        <v>54</v>
      </c>
      <c r="J512" t="s">
        <v>542</v>
      </c>
      <c r="K512" t="s">
        <v>543</v>
      </c>
      <c r="M512">
        <v>0.35680000000000001</v>
      </c>
      <c r="N512">
        <v>4</v>
      </c>
      <c r="P512">
        <f>COUNTIFS(keyword_comparison[record_identifier],keyword_comparison[[#This Row],[record_identifier]],keyword_comparison[Review],"&lt;&gt;")</f>
        <v>0</v>
      </c>
      <c r="Q512" cm="1">
        <f t="array" ref="Q512">SUMPRODUCT((keyword_comparison[record_identifier]=keyword_comparison[[#This Row],[record_identifier]])*(LEN(keyword_comparison[keyword_matcher_output])&gt;0))</f>
        <v>2</v>
      </c>
    </row>
    <row r="513" spans="1:17" x14ac:dyDescent="0.25">
      <c r="A513" t="s">
        <v>530</v>
      </c>
      <c r="B513" t="s">
        <v>531</v>
      </c>
      <c r="C513" t="s">
        <v>532</v>
      </c>
      <c r="D513" t="s">
        <v>20</v>
      </c>
      <c r="E513" t="s">
        <v>33</v>
      </c>
      <c r="H513" t="s">
        <v>54</v>
      </c>
      <c r="J513" t="s">
        <v>248</v>
      </c>
      <c r="K513" t="s">
        <v>249</v>
      </c>
      <c r="M513">
        <v>0.33979999999999999</v>
      </c>
      <c r="N513">
        <v>5</v>
      </c>
      <c r="P513">
        <f>COUNTIFS(keyword_comparison[record_identifier],keyword_comparison[[#This Row],[record_identifier]],keyword_comparison[Review],"&lt;&gt;")</f>
        <v>0</v>
      </c>
      <c r="Q513" cm="1">
        <f t="array" ref="Q513">SUMPRODUCT((keyword_comparison[record_identifier]=keyword_comparison[[#This Row],[record_identifier]])*(LEN(keyword_comparison[keyword_matcher_output])&gt;0))</f>
        <v>2</v>
      </c>
    </row>
    <row r="514" spans="1:17" x14ac:dyDescent="0.25">
      <c r="A514" t="s">
        <v>530</v>
      </c>
      <c r="B514" t="s">
        <v>531</v>
      </c>
      <c r="C514" t="s">
        <v>532</v>
      </c>
      <c r="D514" t="s">
        <v>20</v>
      </c>
      <c r="E514" t="s">
        <v>33</v>
      </c>
      <c r="H514" t="s">
        <v>54</v>
      </c>
      <c r="J514" t="s">
        <v>437</v>
      </c>
      <c r="K514" t="s">
        <v>438</v>
      </c>
      <c r="M514">
        <v>0.28029999999999999</v>
      </c>
      <c r="N514">
        <v>6</v>
      </c>
      <c r="P514">
        <f>COUNTIFS(keyword_comparison[record_identifier],keyword_comparison[[#This Row],[record_identifier]],keyword_comparison[Review],"&lt;&gt;")</f>
        <v>0</v>
      </c>
      <c r="Q514" cm="1">
        <f t="array" ref="Q514">SUMPRODUCT((keyword_comparison[record_identifier]=keyword_comparison[[#This Row],[record_identifier]])*(LEN(keyword_comparison[keyword_matcher_output])&gt;0))</f>
        <v>2</v>
      </c>
    </row>
    <row r="515" spans="1:17" x14ac:dyDescent="0.25">
      <c r="A515" t="s">
        <v>530</v>
      </c>
      <c r="B515" t="s">
        <v>531</v>
      </c>
      <c r="C515" t="s">
        <v>532</v>
      </c>
      <c r="D515" t="s">
        <v>20</v>
      </c>
      <c r="E515" t="s">
        <v>33</v>
      </c>
      <c r="H515" t="s">
        <v>54</v>
      </c>
      <c r="J515" t="s">
        <v>544</v>
      </c>
      <c r="K515" t="s">
        <v>223</v>
      </c>
      <c r="M515">
        <v>0.17760000000000001</v>
      </c>
      <c r="N515">
        <v>7</v>
      </c>
      <c r="P515">
        <f>COUNTIFS(keyword_comparison[record_identifier],keyword_comparison[[#This Row],[record_identifier]],keyword_comparison[Review],"&lt;&gt;")</f>
        <v>0</v>
      </c>
      <c r="Q515" cm="1">
        <f t="array" ref="Q515">SUMPRODUCT((keyword_comparison[record_identifier]=keyword_comparison[[#This Row],[record_identifier]])*(LEN(keyword_comparison[keyword_matcher_output])&gt;0))</f>
        <v>2</v>
      </c>
    </row>
    <row r="516" spans="1:17" x14ac:dyDescent="0.25">
      <c r="A516" t="s">
        <v>530</v>
      </c>
      <c r="B516" t="s">
        <v>531</v>
      </c>
      <c r="C516" t="s">
        <v>532</v>
      </c>
      <c r="D516" t="s">
        <v>20</v>
      </c>
      <c r="E516" t="s">
        <v>33</v>
      </c>
      <c r="H516" t="s">
        <v>54</v>
      </c>
      <c r="J516" t="s">
        <v>406</v>
      </c>
      <c r="K516" t="s">
        <v>56</v>
      </c>
      <c r="M516">
        <v>0.14080000000000001</v>
      </c>
      <c r="N516">
        <v>8</v>
      </c>
      <c r="P516">
        <f>COUNTIFS(keyword_comparison[record_identifier],keyword_comparison[[#This Row],[record_identifier]],keyword_comparison[Review],"&lt;&gt;")</f>
        <v>0</v>
      </c>
      <c r="Q516" cm="1">
        <f t="array" ref="Q516">SUMPRODUCT((keyword_comparison[record_identifier]=keyword_comparison[[#This Row],[record_identifier]])*(LEN(keyword_comparison[keyword_matcher_output])&gt;0))</f>
        <v>2</v>
      </c>
    </row>
    <row r="517" spans="1:17" x14ac:dyDescent="0.25">
      <c r="A517" t="s">
        <v>530</v>
      </c>
      <c r="B517" t="s">
        <v>531</v>
      </c>
      <c r="C517" t="s">
        <v>532</v>
      </c>
      <c r="D517" t="s">
        <v>20</v>
      </c>
      <c r="E517" t="s">
        <v>33</v>
      </c>
      <c r="H517" t="s">
        <v>54</v>
      </c>
      <c r="J517" t="s">
        <v>193</v>
      </c>
      <c r="K517" t="s">
        <v>194</v>
      </c>
      <c r="M517">
        <v>0.1346</v>
      </c>
      <c r="N517">
        <v>9</v>
      </c>
      <c r="P517">
        <f>COUNTIFS(keyword_comparison[record_identifier],keyword_comparison[[#This Row],[record_identifier]],keyword_comparison[Review],"&lt;&gt;")</f>
        <v>0</v>
      </c>
      <c r="Q517" cm="1">
        <f t="array" ref="Q517">SUMPRODUCT((keyword_comparison[record_identifier]=keyword_comparison[[#This Row],[record_identifier]])*(LEN(keyword_comparison[keyword_matcher_output])&gt;0))</f>
        <v>2</v>
      </c>
    </row>
    <row r="518" spans="1:17" x14ac:dyDescent="0.25">
      <c r="A518" t="s">
        <v>530</v>
      </c>
      <c r="B518" t="s">
        <v>531</v>
      </c>
      <c r="C518" t="s">
        <v>532</v>
      </c>
      <c r="D518" t="s">
        <v>20</v>
      </c>
      <c r="E518" t="s">
        <v>33</v>
      </c>
      <c r="H518" t="s">
        <v>54</v>
      </c>
      <c r="J518" t="s">
        <v>545</v>
      </c>
      <c r="K518" t="s">
        <v>546</v>
      </c>
      <c r="M518">
        <v>0.113</v>
      </c>
      <c r="N518">
        <v>10</v>
      </c>
      <c r="P518">
        <f>COUNTIFS(keyword_comparison[record_identifier],keyword_comparison[[#This Row],[record_identifier]],keyword_comparison[Review],"&lt;&gt;")</f>
        <v>0</v>
      </c>
      <c r="Q518" cm="1">
        <f t="array" ref="Q518">SUMPRODUCT((keyword_comparison[record_identifier]=keyword_comparison[[#This Row],[record_identifier]])*(LEN(keyword_comparison[keyword_matcher_output])&gt;0))</f>
        <v>2</v>
      </c>
    </row>
    <row r="519" spans="1:17" x14ac:dyDescent="0.25">
      <c r="A519" t="s">
        <v>530</v>
      </c>
      <c r="B519" t="s">
        <v>531</v>
      </c>
      <c r="C519" t="s">
        <v>532</v>
      </c>
      <c r="D519" t="s">
        <v>20</v>
      </c>
      <c r="E519" t="s">
        <v>33</v>
      </c>
      <c r="H519" t="s">
        <v>54</v>
      </c>
      <c r="J519" t="s">
        <v>514</v>
      </c>
      <c r="K519" t="s">
        <v>515</v>
      </c>
      <c r="M519">
        <v>0.1087</v>
      </c>
      <c r="N519">
        <v>11</v>
      </c>
      <c r="P519">
        <f>COUNTIFS(keyword_comparison[record_identifier],keyword_comparison[[#This Row],[record_identifier]],keyword_comparison[Review],"&lt;&gt;")</f>
        <v>0</v>
      </c>
      <c r="Q519" cm="1">
        <f t="array" ref="Q519">SUMPRODUCT((keyword_comparison[record_identifier]=keyword_comparison[[#This Row],[record_identifier]])*(LEN(keyword_comparison[keyword_matcher_output])&gt;0))</f>
        <v>2</v>
      </c>
    </row>
    <row r="520" spans="1:17" x14ac:dyDescent="0.25">
      <c r="A520" t="s">
        <v>530</v>
      </c>
      <c r="B520" t="s">
        <v>531</v>
      </c>
      <c r="C520" t="s">
        <v>532</v>
      </c>
      <c r="D520" t="s">
        <v>20</v>
      </c>
      <c r="E520" t="s">
        <v>33</v>
      </c>
      <c r="H520" t="s">
        <v>54</v>
      </c>
      <c r="J520" t="s">
        <v>519</v>
      </c>
      <c r="K520" t="s">
        <v>520</v>
      </c>
      <c r="M520">
        <v>7.4300000000000005E-2</v>
      </c>
      <c r="N520">
        <v>12</v>
      </c>
      <c r="P520">
        <f>COUNTIFS(keyword_comparison[record_identifier],keyword_comparison[[#This Row],[record_identifier]],keyword_comparison[Review],"&lt;&gt;")</f>
        <v>0</v>
      </c>
      <c r="Q520" cm="1">
        <f t="array" ref="Q520">SUMPRODUCT((keyword_comparison[record_identifier]=keyword_comparison[[#This Row],[record_identifier]])*(LEN(keyword_comparison[keyword_matcher_output])&gt;0))</f>
        <v>2</v>
      </c>
    </row>
    <row r="521" spans="1:17" x14ac:dyDescent="0.25">
      <c r="A521" t="s">
        <v>530</v>
      </c>
      <c r="B521" t="s">
        <v>531</v>
      </c>
      <c r="C521" t="s">
        <v>532</v>
      </c>
      <c r="D521" t="s">
        <v>20</v>
      </c>
      <c r="E521" t="s">
        <v>33</v>
      </c>
      <c r="H521" t="s">
        <v>54</v>
      </c>
      <c r="J521" t="s">
        <v>547</v>
      </c>
      <c r="K521" t="s">
        <v>221</v>
      </c>
      <c r="M521">
        <v>6.5000000000000002E-2</v>
      </c>
      <c r="N521">
        <v>13</v>
      </c>
      <c r="P521">
        <f>COUNTIFS(keyword_comparison[record_identifier],keyword_comparison[[#This Row],[record_identifier]],keyword_comparison[Review],"&lt;&gt;")</f>
        <v>0</v>
      </c>
      <c r="Q521" cm="1">
        <f t="array" ref="Q521">SUMPRODUCT((keyword_comparison[record_identifier]=keyword_comparison[[#This Row],[record_identifier]])*(LEN(keyword_comparison[keyword_matcher_output])&gt;0))</f>
        <v>2</v>
      </c>
    </row>
    <row r="522" spans="1:17" x14ac:dyDescent="0.25">
      <c r="A522" t="s">
        <v>530</v>
      </c>
      <c r="B522" t="s">
        <v>531</v>
      </c>
      <c r="C522" t="s">
        <v>532</v>
      </c>
      <c r="D522" t="s">
        <v>20</v>
      </c>
      <c r="E522" t="s">
        <v>33</v>
      </c>
      <c r="H522" t="s">
        <v>54</v>
      </c>
      <c r="J522" t="s">
        <v>547</v>
      </c>
      <c r="K522" t="s">
        <v>220</v>
      </c>
      <c r="M522">
        <v>6.5000000000000002E-2</v>
      </c>
      <c r="N522">
        <v>14</v>
      </c>
      <c r="P522">
        <f>COUNTIFS(keyword_comparison[record_identifier],keyword_comparison[[#This Row],[record_identifier]],keyword_comparison[Review],"&lt;&gt;")</f>
        <v>0</v>
      </c>
      <c r="Q522" cm="1">
        <f t="array" ref="Q522">SUMPRODUCT((keyword_comparison[record_identifier]=keyword_comparison[[#This Row],[record_identifier]])*(LEN(keyword_comparison[keyword_matcher_output])&gt;0))</f>
        <v>2</v>
      </c>
    </row>
    <row r="523" spans="1:17" x14ac:dyDescent="0.25">
      <c r="A523" t="s">
        <v>530</v>
      </c>
      <c r="B523" t="s">
        <v>531</v>
      </c>
      <c r="C523" t="s">
        <v>532</v>
      </c>
      <c r="D523" t="s">
        <v>20</v>
      </c>
      <c r="E523" t="s">
        <v>48</v>
      </c>
      <c r="H523" t="s">
        <v>54</v>
      </c>
      <c r="J523" t="s">
        <v>548</v>
      </c>
      <c r="K523" t="s">
        <v>234</v>
      </c>
      <c r="P523">
        <f>COUNTIFS(keyword_comparison[record_identifier],keyword_comparison[[#This Row],[record_identifier]],keyword_comparison[Review],"&lt;&gt;")</f>
        <v>0</v>
      </c>
      <c r="Q523" cm="1">
        <f t="array" ref="Q523">SUMPRODUCT((keyword_comparison[record_identifier]=keyword_comparison[[#This Row],[record_identifier]])*(LEN(keyword_comparison[keyword_matcher_output])&gt;0))</f>
        <v>2</v>
      </c>
    </row>
    <row r="524" spans="1:17" x14ac:dyDescent="0.25">
      <c r="A524" t="s">
        <v>530</v>
      </c>
      <c r="B524" t="s">
        <v>531</v>
      </c>
      <c r="C524" t="s">
        <v>532</v>
      </c>
      <c r="D524" t="s">
        <v>20</v>
      </c>
      <c r="E524" t="s">
        <v>48</v>
      </c>
      <c r="H524" t="s">
        <v>54</v>
      </c>
      <c r="J524" t="s">
        <v>233</v>
      </c>
      <c r="K524" t="s">
        <v>234</v>
      </c>
      <c r="P524">
        <f>COUNTIFS(keyword_comparison[record_identifier],keyword_comparison[[#This Row],[record_identifier]],keyword_comparison[Review],"&lt;&gt;")</f>
        <v>0</v>
      </c>
      <c r="Q524" cm="1">
        <f t="array" ref="Q524">SUMPRODUCT((keyword_comparison[record_identifier]=keyword_comparison[[#This Row],[record_identifier]])*(LEN(keyword_comparison[keyword_matcher_output])&gt;0))</f>
        <v>2</v>
      </c>
    </row>
    <row r="525" spans="1:17" x14ac:dyDescent="0.25">
      <c r="A525" t="s">
        <v>530</v>
      </c>
      <c r="B525" t="s">
        <v>531</v>
      </c>
      <c r="C525" t="s">
        <v>532</v>
      </c>
      <c r="D525" t="s">
        <v>20</v>
      </c>
      <c r="E525" t="s">
        <v>48</v>
      </c>
      <c r="H525" t="s">
        <v>54</v>
      </c>
      <c r="J525" t="s">
        <v>89</v>
      </c>
      <c r="K525" t="s">
        <v>90</v>
      </c>
      <c r="P525">
        <f>COUNTIFS(keyword_comparison[record_identifier],keyword_comparison[[#This Row],[record_identifier]],keyword_comparison[Review],"&lt;&gt;")</f>
        <v>0</v>
      </c>
      <c r="Q525" cm="1">
        <f t="array" ref="Q525">SUMPRODUCT((keyword_comparison[record_identifier]=keyword_comparison[[#This Row],[record_identifier]])*(LEN(keyword_comparison[keyword_matcher_output])&gt;0))</f>
        <v>2</v>
      </c>
    </row>
    <row r="526" spans="1:17" x14ac:dyDescent="0.25">
      <c r="A526" t="s">
        <v>530</v>
      </c>
      <c r="B526" t="s">
        <v>531</v>
      </c>
      <c r="C526" t="s">
        <v>532</v>
      </c>
      <c r="D526" t="s">
        <v>20</v>
      </c>
      <c r="E526" t="s">
        <v>48</v>
      </c>
      <c r="H526" t="s">
        <v>54</v>
      </c>
      <c r="J526" t="s">
        <v>136</v>
      </c>
      <c r="K526" t="s">
        <v>137</v>
      </c>
      <c r="P526">
        <f>COUNTIFS(keyword_comparison[record_identifier],keyword_comparison[[#This Row],[record_identifier]],keyword_comparison[Review],"&lt;&gt;")</f>
        <v>0</v>
      </c>
      <c r="Q526" cm="1">
        <f t="array" ref="Q526">SUMPRODUCT((keyword_comparison[record_identifier]=keyword_comparison[[#This Row],[record_identifier]])*(LEN(keyword_comparison[keyword_matcher_output])&gt;0))</f>
        <v>2</v>
      </c>
    </row>
    <row r="527" spans="1:17" x14ac:dyDescent="0.25">
      <c r="A527" t="s">
        <v>530</v>
      </c>
      <c r="B527" t="s">
        <v>531</v>
      </c>
      <c r="C527" t="s">
        <v>532</v>
      </c>
      <c r="D527" t="s">
        <v>20</v>
      </c>
      <c r="E527" t="s">
        <v>48</v>
      </c>
      <c r="H527" t="s">
        <v>54</v>
      </c>
      <c r="J527" t="s">
        <v>84</v>
      </c>
      <c r="K527" t="s">
        <v>85</v>
      </c>
      <c r="P527">
        <f>COUNTIFS(keyword_comparison[record_identifier],keyword_comparison[[#This Row],[record_identifier]],keyword_comparison[Review],"&lt;&gt;")</f>
        <v>0</v>
      </c>
      <c r="Q527" cm="1">
        <f t="array" ref="Q527">SUMPRODUCT((keyword_comparison[record_identifier]=keyword_comparison[[#This Row],[record_identifier]])*(LEN(keyword_comparison[keyword_matcher_output])&gt;0))</f>
        <v>2</v>
      </c>
    </row>
    <row r="528" spans="1:17" x14ac:dyDescent="0.25">
      <c r="A528" t="s">
        <v>530</v>
      </c>
      <c r="B528" t="s">
        <v>531</v>
      </c>
      <c r="C528" t="s">
        <v>532</v>
      </c>
      <c r="D528" t="s">
        <v>20</v>
      </c>
      <c r="E528" t="s">
        <v>48</v>
      </c>
      <c r="H528" t="s">
        <v>54</v>
      </c>
      <c r="J528" t="s">
        <v>195</v>
      </c>
      <c r="K528" t="s">
        <v>196</v>
      </c>
      <c r="P528">
        <f>COUNTIFS(keyword_comparison[record_identifier],keyword_comparison[[#This Row],[record_identifier]],keyword_comparison[Review],"&lt;&gt;")</f>
        <v>0</v>
      </c>
      <c r="Q528" cm="1">
        <f t="array" ref="Q528">SUMPRODUCT((keyword_comparison[record_identifier]=keyword_comparison[[#This Row],[record_identifier]])*(LEN(keyword_comparison[keyword_matcher_output])&gt;0))</f>
        <v>2</v>
      </c>
    </row>
    <row r="529" spans="1:17" x14ac:dyDescent="0.25">
      <c r="A529" t="s">
        <v>530</v>
      </c>
      <c r="B529" t="s">
        <v>531</v>
      </c>
      <c r="C529" t="s">
        <v>532</v>
      </c>
      <c r="D529" t="s">
        <v>20</v>
      </c>
      <c r="E529" t="s">
        <v>48</v>
      </c>
      <c r="H529" t="s">
        <v>54</v>
      </c>
      <c r="J529" t="s">
        <v>34</v>
      </c>
      <c r="K529" t="s">
        <v>35</v>
      </c>
      <c r="P529">
        <f>COUNTIFS(keyword_comparison[record_identifier],keyword_comparison[[#This Row],[record_identifier]],keyword_comparison[Review],"&lt;&gt;")</f>
        <v>0</v>
      </c>
      <c r="Q529" cm="1">
        <f t="array" ref="Q529">SUMPRODUCT((keyword_comparison[record_identifier]=keyword_comparison[[#This Row],[record_identifier]])*(LEN(keyword_comparison[keyword_matcher_output])&gt;0))</f>
        <v>2</v>
      </c>
    </row>
    <row r="530" spans="1:17" x14ac:dyDescent="0.25">
      <c r="A530" t="s">
        <v>530</v>
      </c>
      <c r="B530" t="s">
        <v>531</v>
      </c>
      <c r="C530" t="s">
        <v>532</v>
      </c>
      <c r="D530" t="s">
        <v>20</v>
      </c>
      <c r="E530" t="s">
        <v>48</v>
      </c>
      <c r="H530" t="s">
        <v>54</v>
      </c>
      <c r="J530" t="s">
        <v>101</v>
      </c>
      <c r="K530" t="s">
        <v>102</v>
      </c>
      <c r="P530">
        <f>COUNTIFS(keyword_comparison[record_identifier],keyword_comparison[[#This Row],[record_identifier]],keyword_comparison[Review],"&lt;&gt;")</f>
        <v>0</v>
      </c>
      <c r="Q530" cm="1">
        <f t="array" ref="Q530">SUMPRODUCT((keyword_comparison[record_identifier]=keyword_comparison[[#This Row],[record_identifier]])*(LEN(keyword_comparison[keyword_matcher_output])&gt;0))</f>
        <v>2</v>
      </c>
    </row>
    <row r="531" spans="1:17" x14ac:dyDescent="0.25">
      <c r="A531" t="s">
        <v>530</v>
      </c>
      <c r="B531" t="s">
        <v>531</v>
      </c>
      <c r="C531" t="s">
        <v>532</v>
      </c>
      <c r="D531" t="s">
        <v>20</v>
      </c>
      <c r="E531" t="s">
        <v>48</v>
      </c>
      <c r="H531" t="s">
        <v>54</v>
      </c>
      <c r="J531" t="s">
        <v>549</v>
      </c>
      <c r="K531" t="s">
        <v>203</v>
      </c>
      <c r="P531">
        <f>COUNTIFS(keyword_comparison[record_identifier],keyword_comparison[[#This Row],[record_identifier]],keyword_comparison[Review],"&lt;&gt;")</f>
        <v>0</v>
      </c>
      <c r="Q531" cm="1">
        <f t="array" ref="Q531">SUMPRODUCT((keyword_comparison[record_identifier]=keyword_comparison[[#This Row],[record_identifier]])*(LEN(keyword_comparison[keyword_matcher_output])&gt;0))</f>
        <v>2</v>
      </c>
    </row>
    <row r="532" spans="1:17" x14ac:dyDescent="0.25">
      <c r="A532" t="s">
        <v>530</v>
      </c>
      <c r="B532" t="s">
        <v>531</v>
      </c>
      <c r="C532" t="s">
        <v>532</v>
      </c>
      <c r="D532" t="s">
        <v>20</v>
      </c>
      <c r="E532" t="s">
        <v>53</v>
      </c>
      <c r="F532" t="s">
        <v>54</v>
      </c>
      <c r="G532" t="s">
        <v>54</v>
      </c>
      <c r="H532" t="s">
        <v>54</v>
      </c>
      <c r="J532" t="s">
        <v>89</v>
      </c>
      <c r="K532" t="s">
        <v>90</v>
      </c>
      <c r="O532">
        <v>1</v>
      </c>
      <c r="P532">
        <f>COUNTIFS(keyword_comparison[record_identifier],keyword_comparison[[#This Row],[record_identifier]],keyword_comparison[Review],"&lt;&gt;")</f>
        <v>0</v>
      </c>
      <c r="Q532" cm="1">
        <f t="array" ref="Q532">SUMPRODUCT((keyword_comparison[record_identifier]=keyword_comparison[[#This Row],[record_identifier]])*(LEN(keyword_comparison[keyword_matcher_output])&gt;0))</f>
        <v>2</v>
      </c>
    </row>
    <row r="533" spans="1:17" x14ac:dyDescent="0.25">
      <c r="A533" t="s">
        <v>530</v>
      </c>
      <c r="B533" t="s">
        <v>531</v>
      </c>
      <c r="C533" t="s">
        <v>532</v>
      </c>
      <c r="D533" t="s">
        <v>20</v>
      </c>
      <c r="E533" t="s">
        <v>53</v>
      </c>
      <c r="F533" t="s">
        <v>54</v>
      </c>
      <c r="G533" t="s">
        <v>54</v>
      </c>
      <c r="H533" t="s">
        <v>54</v>
      </c>
      <c r="J533" t="s">
        <v>548</v>
      </c>
      <c r="K533" t="s">
        <v>234</v>
      </c>
      <c r="O533">
        <v>2</v>
      </c>
      <c r="P533">
        <f>COUNTIFS(keyword_comparison[record_identifier],keyword_comparison[[#This Row],[record_identifier]],keyword_comparison[Review],"&lt;&gt;")</f>
        <v>0</v>
      </c>
      <c r="Q533" cm="1">
        <f t="array" ref="Q533">SUMPRODUCT((keyword_comparison[record_identifier]=keyword_comparison[[#This Row],[record_identifier]])*(LEN(keyword_comparison[keyword_matcher_output])&gt;0))</f>
        <v>2</v>
      </c>
    </row>
    <row r="534" spans="1:17" x14ac:dyDescent="0.25">
      <c r="A534" t="s">
        <v>530</v>
      </c>
      <c r="B534" t="s">
        <v>531</v>
      </c>
      <c r="C534" t="s">
        <v>532</v>
      </c>
      <c r="D534" t="s">
        <v>20</v>
      </c>
      <c r="E534" t="s">
        <v>53</v>
      </c>
      <c r="F534" t="s">
        <v>54</v>
      </c>
      <c r="G534" t="s">
        <v>54</v>
      </c>
      <c r="H534" t="s">
        <v>54</v>
      </c>
      <c r="J534" t="s">
        <v>136</v>
      </c>
      <c r="K534" t="s">
        <v>137</v>
      </c>
      <c r="O534">
        <v>4</v>
      </c>
      <c r="P534">
        <f>COUNTIFS(keyword_comparison[record_identifier],keyword_comparison[[#This Row],[record_identifier]],keyword_comparison[Review],"&lt;&gt;")</f>
        <v>0</v>
      </c>
      <c r="Q534" cm="1">
        <f t="array" ref="Q534">SUMPRODUCT((keyword_comparison[record_identifier]=keyword_comparison[[#This Row],[record_identifier]])*(LEN(keyword_comparison[keyword_matcher_output])&gt;0))</f>
        <v>2</v>
      </c>
    </row>
    <row r="535" spans="1:17" x14ac:dyDescent="0.25">
      <c r="A535" t="s">
        <v>530</v>
      </c>
      <c r="B535" t="s">
        <v>531</v>
      </c>
      <c r="C535" t="s">
        <v>532</v>
      </c>
      <c r="D535" t="s">
        <v>20</v>
      </c>
      <c r="E535" t="s">
        <v>53</v>
      </c>
      <c r="F535" t="s">
        <v>54</v>
      </c>
      <c r="G535" t="s">
        <v>54</v>
      </c>
      <c r="H535" t="s">
        <v>54</v>
      </c>
      <c r="J535" t="s">
        <v>101</v>
      </c>
      <c r="K535" t="s">
        <v>102</v>
      </c>
      <c r="O535">
        <v>5</v>
      </c>
      <c r="P535">
        <f>COUNTIFS(keyword_comparison[record_identifier],keyword_comparison[[#This Row],[record_identifier]],keyword_comparison[Review],"&lt;&gt;")</f>
        <v>0</v>
      </c>
      <c r="Q535" cm="1">
        <f t="array" ref="Q535">SUMPRODUCT((keyword_comparison[record_identifier]=keyword_comparison[[#This Row],[record_identifier]])*(LEN(keyword_comparison[keyword_matcher_output])&gt;0))</f>
        <v>2</v>
      </c>
    </row>
    <row r="536" spans="1:17" x14ac:dyDescent="0.25">
      <c r="A536" t="s">
        <v>530</v>
      </c>
      <c r="B536" t="s">
        <v>531</v>
      </c>
      <c r="C536" t="s">
        <v>532</v>
      </c>
      <c r="D536" t="s">
        <v>20</v>
      </c>
      <c r="E536" t="s">
        <v>53</v>
      </c>
      <c r="F536" t="s">
        <v>54</v>
      </c>
      <c r="G536" t="s">
        <v>54</v>
      </c>
      <c r="H536" t="s">
        <v>54</v>
      </c>
      <c r="J536" t="s">
        <v>550</v>
      </c>
      <c r="K536" t="s">
        <v>551</v>
      </c>
      <c r="O536">
        <v>7</v>
      </c>
      <c r="P536">
        <f>COUNTIFS(keyword_comparison[record_identifier],keyword_comparison[[#This Row],[record_identifier]],keyword_comparison[Review],"&lt;&gt;")</f>
        <v>0</v>
      </c>
      <c r="Q536" cm="1">
        <f t="array" ref="Q536">SUMPRODUCT((keyword_comparison[record_identifier]=keyword_comparison[[#This Row],[record_identifier]])*(LEN(keyword_comparison[keyword_matcher_output])&gt;0))</f>
        <v>2</v>
      </c>
    </row>
    <row r="537" spans="1:17" x14ac:dyDescent="0.25">
      <c r="A537" t="s">
        <v>530</v>
      </c>
      <c r="B537" t="s">
        <v>531</v>
      </c>
      <c r="C537" t="s">
        <v>532</v>
      </c>
      <c r="D537" t="s">
        <v>20</v>
      </c>
      <c r="E537" t="s">
        <v>53</v>
      </c>
      <c r="F537" t="s">
        <v>54</v>
      </c>
      <c r="G537" t="s">
        <v>54</v>
      </c>
      <c r="H537" t="s">
        <v>54</v>
      </c>
      <c r="J537" t="s">
        <v>182</v>
      </c>
      <c r="K537" t="s">
        <v>183</v>
      </c>
      <c r="O537">
        <v>9</v>
      </c>
      <c r="P537">
        <f>COUNTIFS(keyword_comparison[record_identifier],keyword_comparison[[#This Row],[record_identifier]],keyword_comparison[Review],"&lt;&gt;")</f>
        <v>0</v>
      </c>
      <c r="Q537" cm="1">
        <f t="array" ref="Q537">SUMPRODUCT((keyword_comparison[record_identifier]=keyword_comparison[[#This Row],[record_identifier]])*(LEN(keyword_comparison[keyword_matcher_output])&gt;0))</f>
        <v>2</v>
      </c>
    </row>
    <row r="538" spans="1:17" x14ac:dyDescent="0.25">
      <c r="A538" t="s">
        <v>530</v>
      </c>
      <c r="B538" t="s">
        <v>531</v>
      </c>
      <c r="C538" t="s">
        <v>532</v>
      </c>
      <c r="D538" t="s">
        <v>20</v>
      </c>
      <c r="E538" t="s">
        <v>53</v>
      </c>
      <c r="F538" t="s">
        <v>54</v>
      </c>
      <c r="G538" t="s">
        <v>54</v>
      </c>
      <c r="H538" t="s">
        <v>54</v>
      </c>
      <c r="J538" t="s">
        <v>207</v>
      </c>
      <c r="K538" t="s">
        <v>208</v>
      </c>
      <c r="O538">
        <v>10</v>
      </c>
      <c r="P538">
        <f>COUNTIFS(keyword_comparison[record_identifier],keyword_comparison[[#This Row],[record_identifier]],keyword_comparison[Review],"&lt;&gt;")</f>
        <v>0</v>
      </c>
      <c r="Q538" cm="1">
        <f t="array" ref="Q538">SUMPRODUCT((keyword_comparison[record_identifier]=keyword_comparison[[#This Row],[record_identifier]])*(LEN(keyword_comparison[keyword_matcher_output])&gt;0))</f>
        <v>2</v>
      </c>
    </row>
    <row r="539" spans="1:17" x14ac:dyDescent="0.25">
      <c r="A539" t="s">
        <v>552</v>
      </c>
      <c r="B539" t="s">
        <v>553</v>
      </c>
      <c r="C539" t="s">
        <v>554</v>
      </c>
      <c r="D539" t="s">
        <v>20</v>
      </c>
      <c r="E539" t="s">
        <v>21</v>
      </c>
      <c r="F539" t="s">
        <v>555</v>
      </c>
      <c r="G539" t="s">
        <v>23</v>
      </c>
      <c r="H539" t="s">
        <v>54</v>
      </c>
      <c r="P539">
        <f>COUNTIFS(keyword_comparison[record_identifier],keyword_comparison[[#This Row],[record_identifier]],keyword_comparison[Review],"&lt;&gt;")</f>
        <v>12</v>
      </c>
      <c r="Q539" cm="1">
        <f t="array" ref="Q539">SUMPRODUCT((keyword_comparison[record_identifier]=keyword_comparison[[#This Row],[record_identifier]])*(LEN(keyword_comparison[keyword_matcher_output])&gt;0))</f>
        <v>1</v>
      </c>
    </row>
    <row r="540" spans="1:17" x14ac:dyDescent="0.25">
      <c r="A540" t="s">
        <v>552</v>
      </c>
      <c r="B540" t="s">
        <v>553</v>
      </c>
      <c r="C540" t="s">
        <v>554</v>
      </c>
      <c r="D540" t="s">
        <v>20</v>
      </c>
      <c r="E540" t="s">
        <v>21</v>
      </c>
      <c r="F540" t="s">
        <v>160</v>
      </c>
      <c r="G540" t="s">
        <v>31</v>
      </c>
      <c r="H540" t="s">
        <v>54</v>
      </c>
      <c r="P540">
        <f>COUNTIFS(keyword_comparison[record_identifier],keyword_comparison[[#This Row],[record_identifier]],keyword_comparison[Review],"&lt;&gt;")</f>
        <v>12</v>
      </c>
      <c r="Q540" cm="1">
        <f t="array" ref="Q540">SUMPRODUCT((keyword_comparison[record_identifier]=keyword_comparison[[#This Row],[record_identifier]])*(LEN(keyword_comparison[keyword_matcher_output])&gt;0))</f>
        <v>1</v>
      </c>
    </row>
    <row r="541" spans="1:17" x14ac:dyDescent="0.25">
      <c r="A541" t="s">
        <v>552</v>
      </c>
      <c r="B541" t="s">
        <v>553</v>
      </c>
      <c r="C541" t="s">
        <v>554</v>
      </c>
      <c r="D541" t="s">
        <v>20</v>
      </c>
      <c r="E541" t="s">
        <v>21</v>
      </c>
      <c r="F541" t="s">
        <v>158</v>
      </c>
      <c r="G541" t="s">
        <v>31</v>
      </c>
      <c r="H541" t="s">
        <v>54</v>
      </c>
      <c r="P541">
        <f>COUNTIFS(keyword_comparison[record_identifier],keyword_comparison[[#This Row],[record_identifier]],keyword_comparison[Review],"&lt;&gt;")</f>
        <v>12</v>
      </c>
      <c r="Q541" cm="1">
        <f t="array" ref="Q541">SUMPRODUCT((keyword_comparison[record_identifier]=keyword_comparison[[#This Row],[record_identifier]])*(LEN(keyword_comparison[keyword_matcher_output])&gt;0))</f>
        <v>1</v>
      </c>
    </row>
    <row r="542" spans="1:17" x14ac:dyDescent="0.25">
      <c r="A542" t="s">
        <v>552</v>
      </c>
      <c r="B542" t="s">
        <v>553</v>
      </c>
      <c r="C542" t="s">
        <v>554</v>
      </c>
      <c r="D542" t="s">
        <v>20</v>
      </c>
      <c r="E542" t="s">
        <v>21</v>
      </c>
      <c r="F542" t="s">
        <v>556</v>
      </c>
      <c r="G542" t="s">
        <v>23</v>
      </c>
      <c r="H542" t="s">
        <v>54</v>
      </c>
      <c r="P542">
        <f>COUNTIFS(keyword_comparison[record_identifier],keyword_comparison[[#This Row],[record_identifier]],keyword_comparison[Review],"&lt;&gt;")</f>
        <v>12</v>
      </c>
      <c r="Q542" cm="1">
        <f t="array" ref="Q542">SUMPRODUCT((keyword_comparison[record_identifier]=keyword_comparison[[#This Row],[record_identifier]])*(LEN(keyword_comparison[keyword_matcher_output])&gt;0))</f>
        <v>1</v>
      </c>
    </row>
    <row r="543" spans="1:17" x14ac:dyDescent="0.25">
      <c r="A543" t="s">
        <v>552</v>
      </c>
      <c r="B543" t="s">
        <v>553</v>
      </c>
      <c r="C543" t="s">
        <v>554</v>
      </c>
      <c r="D543" t="s">
        <v>20</v>
      </c>
      <c r="E543" t="s">
        <v>21</v>
      </c>
      <c r="F543" t="s">
        <v>364</v>
      </c>
      <c r="G543" t="s">
        <v>23</v>
      </c>
      <c r="H543" t="s">
        <v>54</v>
      </c>
      <c r="P543">
        <f>COUNTIFS(keyword_comparison[record_identifier],keyword_comparison[[#This Row],[record_identifier]],keyword_comparison[Review],"&lt;&gt;")</f>
        <v>12</v>
      </c>
      <c r="Q543" cm="1">
        <f t="array" ref="Q543">SUMPRODUCT((keyword_comparison[record_identifier]=keyword_comparison[[#This Row],[record_identifier]])*(LEN(keyword_comparison[keyword_matcher_output])&gt;0))</f>
        <v>1</v>
      </c>
    </row>
    <row r="544" spans="1:17" x14ac:dyDescent="0.25">
      <c r="A544" t="s">
        <v>552</v>
      </c>
      <c r="B544" t="s">
        <v>553</v>
      </c>
      <c r="C544" t="s">
        <v>554</v>
      </c>
      <c r="D544" t="s">
        <v>20</v>
      </c>
      <c r="E544" t="s">
        <v>21</v>
      </c>
      <c r="F544" t="s">
        <v>270</v>
      </c>
      <c r="G544" t="s">
        <v>31</v>
      </c>
      <c r="H544" t="s">
        <v>54</v>
      </c>
      <c r="P544">
        <f>COUNTIFS(keyword_comparison[record_identifier],keyword_comparison[[#This Row],[record_identifier]],keyword_comparison[Review],"&lt;&gt;")</f>
        <v>12</v>
      </c>
      <c r="Q544" cm="1">
        <f t="array" ref="Q544">SUMPRODUCT((keyword_comparison[record_identifier]=keyword_comparison[[#This Row],[record_identifier]])*(LEN(keyword_comparison[keyword_matcher_output])&gt;0))</f>
        <v>1</v>
      </c>
    </row>
    <row r="545" spans="1:17" x14ac:dyDescent="0.25">
      <c r="A545" t="s">
        <v>552</v>
      </c>
      <c r="B545" t="s">
        <v>553</v>
      </c>
      <c r="C545" t="s">
        <v>554</v>
      </c>
      <c r="D545" t="s">
        <v>20</v>
      </c>
      <c r="E545" t="s">
        <v>21</v>
      </c>
      <c r="F545" t="s">
        <v>557</v>
      </c>
      <c r="G545" t="s">
        <v>23</v>
      </c>
      <c r="H545" t="s">
        <v>54</v>
      </c>
      <c r="P545">
        <f>COUNTIFS(keyword_comparison[record_identifier],keyword_comparison[[#This Row],[record_identifier]],keyword_comparison[Review],"&lt;&gt;")</f>
        <v>12</v>
      </c>
      <c r="Q545" cm="1">
        <f t="array" ref="Q545">SUMPRODUCT((keyword_comparison[record_identifier]=keyword_comparison[[#This Row],[record_identifier]])*(LEN(keyword_comparison[keyword_matcher_output])&gt;0))</f>
        <v>1</v>
      </c>
    </row>
    <row r="546" spans="1:17" x14ac:dyDescent="0.25">
      <c r="A546" t="s">
        <v>552</v>
      </c>
      <c r="B546" t="s">
        <v>553</v>
      </c>
      <c r="C546" t="s">
        <v>554</v>
      </c>
      <c r="D546" t="s">
        <v>20</v>
      </c>
      <c r="E546" t="s">
        <v>21</v>
      </c>
      <c r="F546" t="s">
        <v>558</v>
      </c>
      <c r="G546" t="s">
        <v>23</v>
      </c>
      <c r="H546" t="s">
        <v>559</v>
      </c>
      <c r="I546" t="s">
        <v>80</v>
      </c>
      <c r="P546">
        <f>COUNTIFS(keyword_comparison[record_identifier],keyword_comparison[[#This Row],[record_identifier]],keyword_comparison[Review],"&lt;&gt;")</f>
        <v>12</v>
      </c>
      <c r="Q546" cm="1">
        <f t="array" ref="Q546">SUMPRODUCT((keyword_comparison[record_identifier]=keyword_comparison[[#This Row],[record_identifier]])*(LEN(keyword_comparison[keyword_matcher_output])&gt;0))</f>
        <v>1</v>
      </c>
    </row>
    <row r="547" spans="1:17" x14ac:dyDescent="0.25">
      <c r="A547" t="s">
        <v>552</v>
      </c>
      <c r="B547" t="s">
        <v>553</v>
      </c>
      <c r="C547" t="s">
        <v>554</v>
      </c>
      <c r="D547" t="s">
        <v>20</v>
      </c>
      <c r="E547" t="s">
        <v>21</v>
      </c>
      <c r="F547" t="s">
        <v>560</v>
      </c>
      <c r="G547" t="s">
        <v>23</v>
      </c>
      <c r="H547" t="s">
        <v>54</v>
      </c>
      <c r="P547">
        <f>COUNTIFS(keyword_comparison[record_identifier],keyword_comparison[[#This Row],[record_identifier]],keyword_comparison[Review],"&lt;&gt;")</f>
        <v>12</v>
      </c>
      <c r="Q547" cm="1">
        <f t="array" ref="Q547">SUMPRODUCT((keyword_comparison[record_identifier]=keyword_comparison[[#This Row],[record_identifier]])*(LEN(keyword_comparison[keyword_matcher_output])&gt;0))</f>
        <v>1</v>
      </c>
    </row>
    <row r="548" spans="1:17" x14ac:dyDescent="0.25">
      <c r="A548" t="s">
        <v>552</v>
      </c>
      <c r="B548" t="s">
        <v>553</v>
      </c>
      <c r="C548" t="s">
        <v>554</v>
      </c>
      <c r="D548" t="s">
        <v>20</v>
      </c>
      <c r="E548" t="s">
        <v>21</v>
      </c>
      <c r="F548" t="s">
        <v>69</v>
      </c>
      <c r="G548" t="s">
        <v>31</v>
      </c>
      <c r="H548" t="s">
        <v>54</v>
      </c>
      <c r="P548">
        <f>COUNTIFS(keyword_comparison[record_identifier],keyword_comparison[[#This Row],[record_identifier]],keyword_comparison[Review],"&lt;&gt;")</f>
        <v>12</v>
      </c>
      <c r="Q548" cm="1">
        <f t="array" ref="Q548">SUMPRODUCT((keyword_comparison[record_identifier]=keyword_comparison[[#This Row],[record_identifier]])*(LEN(keyword_comparison[keyword_matcher_output])&gt;0))</f>
        <v>1</v>
      </c>
    </row>
    <row r="549" spans="1:17" x14ac:dyDescent="0.25">
      <c r="A549" t="s">
        <v>552</v>
      </c>
      <c r="B549" t="s">
        <v>553</v>
      </c>
      <c r="C549" t="s">
        <v>554</v>
      </c>
      <c r="D549" t="s">
        <v>20</v>
      </c>
      <c r="E549" t="s">
        <v>21</v>
      </c>
      <c r="F549" t="s">
        <v>74</v>
      </c>
      <c r="G549" t="s">
        <v>72</v>
      </c>
      <c r="H549" t="s">
        <v>54</v>
      </c>
      <c r="P549">
        <f>COUNTIFS(keyword_comparison[record_identifier],keyword_comparison[[#This Row],[record_identifier]],keyword_comparison[Review],"&lt;&gt;")</f>
        <v>12</v>
      </c>
      <c r="Q549" cm="1">
        <f t="array" ref="Q549">SUMPRODUCT((keyword_comparison[record_identifier]=keyword_comparison[[#This Row],[record_identifier]])*(LEN(keyword_comparison[keyword_matcher_output])&gt;0))</f>
        <v>1</v>
      </c>
    </row>
    <row r="550" spans="1:17" x14ac:dyDescent="0.25">
      <c r="A550" t="s">
        <v>552</v>
      </c>
      <c r="B550" t="s">
        <v>553</v>
      </c>
      <c r="C550" t="s">
        <v>554</v>
      </c>
      <c r="D550" t="s">
        <v>20</v>
      </c>
      <c r="E550" t="s">
        <v>21</v>
      </c>
      <c r="F550" t="s">
        <v>71</v>
      </c>
      <c r="G550" t="s">
        <v>72</v>
      </c>
      <c r="H550" t="s">
        <v>54</v>
      </c>
      <c r="P550">
        <f>COUNTIFS(keyword_comparison[record_identifier],keyword_comparison[[#This Row],[record_identifier]],keyword_comparison[Review],"&lt;&gt;")</f>
        <v>12</v>
      </c>
      <c r="Q550" cm="1">
        <f t="array" ref="Q550">SUMPRODUCT((keyword_comparison[record_identifier]=keyword_comparison[[#This Row],[record_identifier]])*(LEN(keyword_comparison[keyword_matcher_output])&gt;0))</f>
        <v>1</v>
      </c>
    </row>
    <row r="551" spans="1:17" x14ac:dyDescent="0.25">
      <c r="A551" t="s">
        <v>552</v>
      </c>
      <c r="B551" t="s">
        <v>553</v>
      </c>
      <c r="C551" t="s">
        <v>554</v>
      </c>
      <c r="D551" t="s">
        <v>20</v>
      </c>
      <c r="E551" t="s">
        <v>33</v>
      </c>
      <c r="H551" t="s">
        <v>54</v>
      </c>
      <c r="I551" t="s">
        <v>80</v>
      </c>
      <c r="J551" t="s">
        <v>204</v>
      </c>
      <c r="K551" s="4" t="s">
        <v>205</v>
      </c>
      <c r="L551" t="b">
        <v>1</v>
      </c>
      <c r="M551">
        <v>0.90280000000000005</v>
      </c>
      <c r="N551">
        <v>1</v>
      </c>
      <c r="P551">
        <f>COUNTIFS(keyword_comparison[record_identifier],keyword_comparison[[#This Row],[record_identifier]],keyword_comparison[Review],"&lt;&gt;")</f>
        <v>12</v>
      </c>
      <c r="Q551" cm="1">
        <f t="array" ref="Q551">SUMPRODUCT((keyword_comparison[record_identifier]=keyword_comparison[[#This Row],[record_identifier]])*(LEN(keyword_comparison[keyword_matcher_output])&gt;0))</f>
        <v>1</v>
      </c>
    </row>
    <row r="552" spans="1:17" x14ac:dyDescent="0.25">
      <c r="A552" t="s">
        <v>552</v>
      </c>
      <c r="B552" t="s">
        <v>553</v>
      </c>
      <c r="C552" t="s">
        <v>554</v>
      </c>
      <c r="D552" t="s">
        <v>20</v>
      </c>
      <c r="E552" t="s">
        <v>33</v>
      </c>
      <c r="H552" t="s">
        <v>54</v>
      </c>
      <c r="I552" t="s">
        <v>88</v>
      </c>
      <c r="J552" t="s">
        <v>101</v>
      </c>
      <c r="K552" t="s">
        <v>102</v>
      </c>
      <c r="M552">
        <v>0.69130000000000003</v>
      </c>
      <c r="N552">
        <v>2</v>
      </c>
      <c r="P552">
        <f>COUNTIFS(keyword_comparison[record_identifier],keyword_comparison[[#This Row],[record_identifier]],keyword_comparison[Review],"&lt;&gt;")</f>
        <v>12</v>
      </c>
      <c r="Q552" cm="1">
        <f t="array" ref="Q552">SUMPRODUCT((keyword_comparison[record_identifier]=keyword_comparison[[#This Row],[record_identifier]])*(LEN(keyword_comparison[keyword_matcher_output])&gt;0))</f>
        <v>1</v>
      </c>
    </row>
    <row r="553" spans="1:17" x14ac:dyDescent="0.25">
      <c r="A553" t="s">
        <v>552</v>
      </c>
      <c r="B553" t="s">
        <v>553</v>
      </c>
      <c r="C553" t="s">
        <v>554</v>
      </c>
      <c r="D553" t="s">
        <v>20</v>
      </c>
      <c r="E553" t="s">
        <v>33</v>
      </c>
      <c r="H553" t="s">
        <v>54</v>
      </c>
      <c r="I553" t="s">
        <v>88</v>
      </c>
      <c r="J553" t="s">
        <v>273</v>
      </c>
      <c r="K553" t="s">
        <v>274</v>
      </c>
      <c r="L553" t="b">
        <v>1</v>
      </c>
      <c r="M553">
        <v>0.43109999999999998</v>
      </c>
      <c r="N553">
        <v>3</v>
      </c>
      <c r="P553">
        <f>COUNTIFS(keyword_comparison[record_identifier],keyword_comparison[[#This Row],[record_identifier]],keyword_comparison[Review],"&lt;&gt;")</f>
        <v>12</v>
      </c>
      <c r="Q553" cm="1">
        <f t="array" ref="Q553">SUMPRODUCT((keyword_comparison[record_identifier]=keyword_comparison[[#This Row],[record_identifier]])*(LEN(keyword_comparison[keyword_matcher_output])&gt;0))</f>
        <v>1</v>
      </c>
    </row>
    <row r="554" spans="1:17" x14ac:dyDescent="0.25">
      <c r="A554" t="s">
        <v>552</v>
      </c>
      <c r="B554" t="s">
        <v>553</v>
      </c>
      <c r="C554" t="s">
        <v>554</v>
      </c>
      <c r="D554" t="s">
        <v>20</v>
      </c>
      <c r="E554" t="s">
        <v>33</v>
      </c>
      <c r="H554" t="s">
        <v>54</v>
      </c>
      <c r="I554" t="s">
        <v>88</v>
      </c>
      <c r="J554" t="s">
        <v>191</v>
      </c>
      <c r="K554" t="s">
        <v>192</v>
      </c>
      <c r="M554">
        <v>0.17610000000000001</v>
      </c>
      <c r="N554">
        <v>4</v>
      </c>
      <c r="P554">
        <f>COUNTIFS(keyword_comparison[record_identifier],keyword_comparison[[#This Row],[record_identifier]],keyword_comparison[Review],"&lt;&gt;")</f>
        <v>12</v>
      </c>
      <c r="Q554" cm="1">
        <f t="array" ref="Q554">SUMPRODUCT((keyword_comparison[record_identifier]=keyword_comparison[[#This Row],[record_identifier]])*(LEN(keyword_comparison[keyword_matcher_output])&gt;0))</f>
        <v>1</v>
      </c>
    </row>
    <row r="555" spans="1:17" x14ac:dyDescent="0.25">
      <c r="A555" t="s">
        <v>552</v>
      </c>
      <c r="B555" t="s">
        <v>553</v>
      </c>
      <c r="C555" t="s">
        <v>554</v>
      </c>
      <c r="D555" t="s">
        <v>20</v>
      </c>
      <c r="E555" t="s">
        <v>33</v>
      </c>
      <c r="H555" t="s">
        <v>54</v>
      </c>
      <c r="I555" t="s">
        <v>80</v>
      </c>
      <c r="J555" t="s">
        <v>561</v>
      </c>
      <c r="K555" t="s">
        <v>562</v>
      </c>
      <c r="M555">
        <v>8.5800000000000001E-2</v>
      </c>
      <c r="N555">
        <v>5</v>
      </c>
      <c r="P555">
        <f>COUNTIFS(keyword_comparison[record_identifier],keyword_comparison[[#This Row],[record_identifier]],keyword_comparison[Review],"&lt;&gt;")</f>
        <v>12</v>
      </c>
      <c r="Q555" cm="1">
        <f t="array" ref="Q555">SUMPRODUCT((keyword_comparison[record_identifier]=keyword_comparison[[#This Row],[record_identifier]])*(LEN(keyword_comparison[keyword_matcher_output])&gt;0))</f>
        <v>1</v>
      </c>
    </row>
    <row r="556" spans="1:17" x14ac:dyDescent="0.25">
      <c r="A556" t="s">
        <v>552</v>
      </c>
      <c r="B556" t="s">
        <v>553</v>
      </c>
      <c r="C556" t="s">
        <v>554</v>
      </c>
      <c r="D556" t="s">
        <v>20</v>
      </c>
      <c r="E556" t="s">
        <v>33</v>
      </c>
      <c r="H556" t="s">
        <v>54</v>
      </c>
      <c r="I556" t="s">
        <v>80</v>
      </c>
      <c r="J556" t="s">
        <v>211</v>
      </c>
      <c r="K556" t="s">
        <v>212</v>
      </c>
      <c r="L556" t="b">
        <v>1</v>
      </c>
      <c r="M556">
        <v>8.0100000000000005E-2</v>
      </c>
      <c r="N556">
        <v>6</v>
      </c>
      <c r="P556">
        <f>COUNTIFS(keyword_comparison[record_identifier],keyword_comparison[[#This Row],[record_identifier]],keyword_comparison[Review],"&lt;&gt;")</f>
        <v>12</v>
      </c>
      <c r="Q556" cm="1">
        <f t="array" ref="Q556">SUMPRODUCT((keyword_comparison[record_identifier]=keyword_comparison[[#This Row],[record_identifier]])*(LEN(keyword_comparison[keyword_matcher_output])&gt;0))</f>
        <v>1</v>
      </c>
    </row>
    <row r="557" spans="1:17" x14ac:dyDescent="0.25">
      <c r="A557" t="s">
        <v>552</v>
      </c>
      <c r="B557" t="s">
        <v>553</v>
      </c>
      <c r="C557" t="s">
        <v>554</v>
      </c>
      <c r="D557" t="s">
        <v>20</v>
      </c>
      <c r="E557" t="s">
        <v>48</v>
      </c>
      <c r="H557" t="s">
        <v>54</v>
      </c>
      <c r="I557" t="s">
        <v>80</v>
      </c>
      <c r="J557" t="s">
        <v>204</v>
      </c>
      <c r="K557" t="s">
        <v>205</v>
      </c>
      <c r="L557" t="b">
        <v>1</v>
      </c>
      <c r="P557">
        <f>COUNTIFS(keyword_comparison[record_identifier],keyword_comparison[[#This Row],[record_identifier]],keyword_comparison[Review],"&lt;&gt;")</f>
        <v>12</v>
      </c>
      <c r="Q557" cm="1">
        <f t="array" ref="Q557">SUMPRODUCT((keyword_comparison[record_identifier]=keyword_comparison[[#This Row],[record_identifier]])*(LEN(keyword_comparison[keyword_matcher_output])&gt;0))</f>
        <v>1</v>
      </c>
    </row>
    <row r="558" spans="1:17" x14ac:dyDescent="0.25">
      <c r="A558" t="s">
        <v>552</v>
      </c>
      <c r="B558" t="s">
        <v>553</v>
      </c>
      <c r="C558" t="s">
        <v>554</v>
      </c>
      <c r="D558" t="s">
        <v>20</v>
      </c>
      <c r="E558" t="s">
        <v>48</v>
      </c>
      <c r="H558" t="s">
        <v>54</v>
      </c>
      <c r="I558" t="s">
        <v>88</v>
      </c>
      <c r="J558" t="s">
        <v>101</v>
      </c>
      <c r="K558" t="s">
        <v>102</v>
      </c>
      <c r="P558">
        <f>COUNTIFS(keyword_comparison[record_identifier],keyword_comparison[[#This Row],[record_identifier]],keyword_comparison[Review],"&lt;&gt;")</f>
        <v>12</v>
      </c>
      <c r="Q558" cm="1">
        <f t="array" ref="Q558">SUMPRODUCT((keyword_comparison[record_identifier]=keyword_comparison[[#This Row],[record_identifier]])*(LEN(keyword_comparison[keyword_matcher_output])&gt;0))</f>
        <v>1</v>
      </c>
    </row>
    <row r="559" spans="1:17" x14ac:dyDescent="0.25">
      <c r="A559" t="s">
        <v>552</v>
      </c>
      <c r="B559" t="s">
        <v>553</v>
      </c>
      <c r="C559" t="s">
        <v>554</v>
      </c>
      <c r="D559" t="s">
        <v>20</v>
      </c>
      <c r="E559" t="s">
        <v>48</v>
      </c>
      <c r="H559" t="s">
        <v>54</v>
      </c>
      <c r="I559" t="s">
        <v>80</v>
      </c>
      <c r="J559" t="s">
        <v>84</v>
      </c>
      <c r="K559" t="s">
        <v>85</v>
      </c>
      <c r="P559">
        <f>COUNTIFS(keyword_comparison[record_identifier],keyword_comparison[[#This Row],[record_identifier]],keyword_comparison[Review],"&lt;&gt;")</f>
        <v>12</v>
      </c>
      <c r="Q559" cm="1">
        <f t="array" ref="Q559">SUMPRODUCT((keyword_comparison[record_identifier]=keyword_comparison[[#This Row],[record_identifier]])*(LEN(keyword_comparison[keyword_matcher_output])&gt;0))</f>
        <v>1</v>
      </c>
    </row>
    <row r="560" spans="1:17" x14ac:dyDescent="0.25">
      <c r="A560" t="s">
        <v>552</v>
      </c>
      <c r="B560" t="s">
        <v>553</v>
      </c>
      <c r="C560" t="s">
        <v>554</v>
      </c>
      <c r="D560" t="s">
        <v>20</v>
      </c>
      <c r="E560" t="s">
        <v>48</v>
      </c>
      <c r="H560" t="s">
        <v>54</v>
      </c>
      <c r="I560" t="s">
        <v>88</v>
      </c>
      <c r="J560" t="s">
        <v>34</v>
      </c>
      <c r="K560" t="s">
        <v>35</v>
      </c>
      <c r="P560">
        <f>COUNTIFS(keyword_comparison[record_identifier],keyword_comparison[[#This Row],[record_identifier]],keyword_comparison[Review],"&lt;&gt;")</f>
        <v>12</v>
      </c>
      <c r="Q560" cm="1">
        <f t="array" ref="Q560">SUMPRODUCT((keyword_comparison[record_identifier]=keyword_comparison[[#This Row],[record_identifier]])*(LEN(keyword_comparison[keyword_matcher_output])&gt;0))</f>
        <v>1</v>
      </c>
    </row>
    <row r="561" spans="1:17" x14ac:dyDescent="0.25">
      <c r="A561" t="s">
        <v>552</v>
      </c>
      <c r="B561" t="s">
        <v>553</v>
      </c>
      <c r="C561" t="s">
        <v>554</v>
      </c>
      <c r="D561" t="s">
        <v>20</v>
      </c>
      <c r="E561" t="s">
        <v>48</v>
      </c>
      <c r="H561" t="s">
        <v>54</v>
      </c>
      <c r="I561" t="s">
        <v>80</v>
      </c>
      <c r="J561" t="s">
        <v>257</v>
      </c>
      <c r="K561" t="s">
        <v>205</v>
      </c>
      <c r="L561" t="b">
        <v>1</v>
      </c>
      <c r="P561">
        <f>COUNTIFS(keyword_comparison[record_identifier],keyword_comparison[[#This Row],[record_identifier]],keyword_comparison[Review],"&lt;&gt;")</f>
        <v>12</v>
      </c>
      <c r="Q561" cm="1">
        <f t="array" ref="Q561">SUMPRODUCT((keyword_comparison[record_identifier]=keyword_comparison[[#This Row],[record_identifier]])*(LEN(keyword_comparison[keyword_matcher_output])&gt;0))</f>
        <v>1</v>
      </c>
    </row>
    <row r="562" spans="1:17" x14ac:dyDescent="0.25">
      <c r="A562" t="s">
        <v>552</v>
      </c>
      <c r="B562" t="s">
        <v>553</v>
      </c>
      <c r="C562" t="s">
        <v>554</v>
      </c>
      <c r="D562" t="s">
        <v>20</v>
      </c>
      <c r="E562" t="s">
        <v>53</v>
      </c>
      <c r="F562" t="s">
        <v>54</v>
      </c>
      <c r="G562" t="s">
        <v>54</v>
      </c>
      <c r="H562" t="s">
        <v>54</v>
      </c>
      <c r="J562" t="s">
        <v>204</v>
      </c>
      <c r="K562" t="s">
        <v>205</v>
      </c>
      <c r="O562">
        <v>1</v>
      </c>
      <c r="P562">
        <f>COUNTIFS(keyword_comparison[record_identifier],keyword_comparison[[#This Row],[record_identifier]],keyword_comparison[Review],"&lt;&gt;")</f>
        <v>12</v>
      </c>
      <c r="Q562" cm="1">
        <f t="array" ref="Q562">SUMPRODUCT((keyword_comparison[record_identifier]=keyword_comparison[[#This Row],[record_identifier]])*(LEN(keyword_comparison[keyword_matcher_output])&gt;0))</f>
        <v>1</v>
      </c>
    </row>
    <row r="563" spans="1:17" x14ac:dyDescent="0.25">
      <c r="A563" t="s">
        <v>552</v>
      </c>
      <c r="B563" t="s">
        <v>553</v>
      </c>
      <c r="C563" t="s">
        <v>554</v>
      </c>
      <c r="D563" t="s">
        <v>20</v>
      </c>
      <c r="E563" t="s">
        <v>53</v>
      </c>
      <c r="F563" t="s">
        <v>54</v>
      </c>
      <c r="G563" t="s">
        <v>54</v>
      </c>
      <c r="H563" t="s">
        <v>54</v>
      </c>
      <c r="J563" t="s">
        <v>563</v>
      </c>
      <c r="K563" t="s">
        <v>564</v>
      </c>
      <c r="O563">
        <v>2</v>
      </c>
      <c r="P563">
        <f>COUNTIFS(keyword_comparison[record_identifier],keyword_comparison[[#This Row],[record_identifier]],keyword_comparison[Review],"&lt;&gt;")</f>
        <v>12</v>
      </c>
      <c r="Q563" cm="1">
        <f t="array" ref="Q563">SUMPRODUCT((keyword_comparison[record_identifier]=keyword_comparison[[#This Row],[record_identifier]])*(LEN(keyword_comparison[keyword_matcher_output])&gt;0))</f>
        <v>1</v>
      </c>
    </row>
    <row r="564" spans="1:17" x14ac:dyDescent="0.25">
      <c r="A564" t="s">
        <v>552</v>
      </c>
      <c r="B564" t="s">
        <v>553</v>
      </c>
      <c r="C564" t="s">
        <v>554</v>
      </c>
      <c r="D564" t="s">
        <v>20</v>
      </c>
      <c r="E564" t="s">
        <v>53</v>
      </c>
      <c r="F564" t="s">
        <v>54</v>
      </c>
      <c r="G564" t="s">
        <v>54</v>
      </c>
      <c r="H564" t="s">
        <v>54</v>
      </c>
      <c r="J564" t="s">
        <v>101</v>
      </c>
      <c r="K564" t="s">
        <v>102</v>
      </c>
      <c r="O564">
        <v>3</v>
      </c>
      <c r="P564">
        <f>COUNTIFS(keyword_comparison[record_identifier],keyword_comparison[[#This Row],[record_identifier]],keyword_comparison[Review],"&lt;&gt;")</f>
        <v>12</v>
      </c>
      <c r="Q564" cm="1">
        <f t="array" ref="Q564">SUMPRODUCT((keyword_comparison[record_identifier]=keyword_comparison[[#This Row],[record_identifier]])*(LEN(keyword_comparison[keyword_matcher_output])&gt;0))</f>
        <v>1</v>
      </c>
    </row>
    <row r="565" spans="1:17" x14ac:dyDescent="0.25">
      <c r="A565" t="s">
        <v>552</v>
      </c>
      <c r="B565" t="s">
        <v>553</v>
      </c>
      <c r="C565" t="s">
        <v>554</v>
      </c>
      <c r="D565" t="s">
        <v>20</v>
      </c>
      <c r="E565" t="s">
        <v>53</v>
      </c>
      <c r="F565" t="s">
        <v>54</v>
      </c>
      <c r="G565" t="s">
        <v>54</v>
      </c>
      <c r="H565" t="s">
        <v>54</v>
      </c>
      <c r="J565" t="s">
        <v>565</v>
      </c>
      <c r="K565" t="s">
        <v>566</v>
      </c>
      <c r="O565">
        <v>4</v>
      </c>
      <c r="P565">
        <f>COUNTIFS(keyword_comparison[record_identifier],keyword_comparison[[#This Row],[record_identifier]],keyword_comparison[Review],"&lt;&gt;")</f>
        <v>12</v>
      </c>
      <c r="Q565" cm="1">
        <f t="array" ref="Q565">SUMPRODUCT((keyword_comparison[record_identifier]=keyword_comparison[[#This Row],[record_identifier]])*(LEN(keyword_comparison[keyword_matcher_output])&gt;0))</f>
        <v>1</v>
      </c>
    </row>
    <row r="566" spans="1:17" x14ac:dyDescent="0.25">
      <c r="A566" t="s">
        <v>552</v>
      </c>
      <c r="B566" t="s">
        <v>553</v>
      </c>
      <c r="C566" t="s">
        <v>554</v>
      </c>
      <c r="D566" t="s">
        <v>20</v>
      </c>
      <c r="E566" t="s">
        <v>53</v>
      </c>
      <c r="F566" t="s">
        <v>54</v>
      </c>
      <c r="G566" t="s">
        <v>54</v>
      </c>
      <c r="H566" t="s">
        <v>54</v>
      </c>
      <c r="J566" t="s">
        <v>206</v>
      </c>
      <c r="K566" t="s">
        <v>60</v>
      </c>
      <c r="O566">
        <v>5</v>
      </c>
      <c r="P566">
        <f>COUNTIFS(keyword_comparison[record_identifier],keyword_comparison[[#This Row],[record_identifier]],keyword_comparison[Review],"&lt;&gt;")</f>
        <v>12</v>
      </c>
      <c r="Q566" cm="1">
        <f t="array" ref="Q566">SUMPRODUCT((keyword_comparison[record_identifier]=keyword_comparison[[#This Row],[record_identifier]])*(LEN(keyword_comparison[keyword_matcher_output])&gt;0))</f>
        <v>1</v>
      </c>
    </row>
    <row r="567" spans="1:17" x14ac:dyDescent="0.25">
      <c r="A567" t="s">
        <v>552</v>
      </c>
      <c r="B567" t="s">
        <v>553</v>
      </c>
      <c r="C567" t="s">
        <v>554</v>
      </c>
      <c r="D567" t="s">
        <v>20</v>
      </c>
      <c r="E567" t="s">
        <v>53</v>
      </c>
      <c r="F567" t="s">
        <v>54</v>
      </c>
      <c r="G567" t="s">
        <v>54</v>
      </c>
      <c r="H567" t="s">
        <v>54</v>
      </c>
      <c r="J567" t="s">
        <v>211</v>
      </c>
      <c r="K567" t="s">
        <v>212</v>
      </c>
      <c r="O567">
        <v>6</v>
      </c>
      <c r="P567">
        <f>COUNTIFS(keyword_comparison[record_identifier],keyword_comparison[[#This Row],[record_identifier]],keyword_comparison[Review],"&lt;&gt;")</f>
        <v>12</v>
      </c>
      <c r="Q567" cm="1">
        <f t="array" ref="Q567">SUMPRODUCT((keyword_comparison[record_identifier]=keyword_comparison[[#This Row],[record_identifier]])*(LEN(keyword_comparison[keyword_matcher_output])&gt;0))</f>
        <v>1</v>
      </c>
    </row>
    <row r="568" spans="1:17" x14ac:dyDescent="0.25">
      <c r="A568" t="s">
        <v>552</v>
      </c>
      <c r="B568" t="s">
        <v>553</v>
      </c>
      <c r="C568" t="s">
        <v>554</v>
      </c>
      <c r="D568" t="s">
        <v>20</v>
      </c>
      <c r="E568" t="s">
        <v>53</v>
      </c>
      <c r="F568" t="s">
        <v>54</v>
      </c>
      <c r="G568" t="s">
        <v>54</v>
      </c>
      <c r="H568" t="s">
        <v>54</v>
      </c>
      <c r="J568" t="s">
        <v>34</v>
      </c>
      <c r="K568" t="s">
        <v>35</v>
      </c>
      <c r="O568">
        <v>7</v>
      </c>
      <c r="P568">
        <f>COUNTIFS(keyword_comparison[record_identifier],keyword_comparison[[#This Row],[record_identifier]],keyword_comparison[Review],"&lt;&gt;")</f>
        <v>12</v>
      </c>
      <c r="Q568" cm="1">
        <f t="array" ref="Q568">SUMPRODUCT((keyword_comparison[record_identifier]=keyword_comparison[[#This Row],[record_identifier]])*(LEN(keyword_comparison[keyword_matcher_output])&gt;0))</f>
        <v>1</v>
      </c>
    </row>
    <row r="569" spans="1:17" x14ac:dyDescent="0.25">
      <c r="A569" t="s">
        <v>552</v>
      </c>
      <c r="B569" t="s">
        <v>553</v>
      </c>
      <c r="C569" t="s">
        <v>554</v>
      </c>
      <c r="D569" t="s">
        <v>20</v>
      </c>
      <c r="E569" t="s">
        <v>53</v>
      </c>
      <c r="F569" t="s">
        <v>54</v>
      </c>
      <c r="G569" t="s">
        <v>54</v>
      </c>
      <c r="H569" t="s">
        <v>54</v>
      </c>
      <c r="J569" t="s">
        <v>561</v>
      </c>
      <c r="K569" t="s">
        <v>562</v>
      </c>
      <c r="O569">
        <v>8</v>
      </c>
      <c r="P569">
        <f>COUNTIFS(keyword_comparison[record_identifier],keyword_comparison[[#This Row],[record_identifier]],keyword_comparison[Review],"&lt;&gt;")</f>
        <v>12</v>
      </c>
      <c r="Q569" cm="1">
        <f t="array" ref="Q569">SUMPRODUCT((keyword_comparison[record_identifier]=keyword_comparison[[#This Row],[record_identifier]])*(LEN(keyword_comparison[keyword_matcher_output])&gt;0))</f>
        <v>1</v>
      </c>
    </row>
    <row r="570" spans="1:17" x14ac:dyDescent="0.25">
      <c r="A570" t="s">
        <v>552</v>
      </c>
      <c r="B570" t="s">
        <v>553</v>
      </c>
      <c r="C570" t="s">
        <v>554</v>
      </c>
      <c r="D570" t="s">
        <v>20</v>
      </c>
      <c r="E570" t="s">
        <v>53</v>
      </c>
      <c r="F570" t="s">
        <v>54</v>
      </c>
      <c r="G570" t="s">
        <v>54</v>
      </c>
      <c r="H570" t="s">
        <v>54</v>
      </c>
      <c r="J570" t="s">
        <v>567</v>
      </c>
      <c r="K570" t="s">
        <v>568</v>
      </c>
      <c r="O570">
        <v>9</v>
      </c>
      <c r="P570">
        <f>COUNTIFS(keyword_comparison[record_identifier],keyword_comparison[[#This Row],[record_identifier]],keyword_comparison[Review],"&lt;&gt;")</f>
        <v>12</v>
      </c>
      <c r="Q570" cm="1">
        <f t="array" ref="Q570">SUMPRODUCT((keyword_comparison[record_identifier]=keyword_comparison[[#This Row],[record_identifier]])*(LEN(keyword_comparison[keyword_matcher_output])&gt;0))</f>
        <v>1</v>
      </c>
    </row>
    <row r="571" spans="1:17" x14ac:dyDescent="0.25">
      <c r="A571" t="s">
        <v>552</v>
      </c>
      <c r="B571" t="s">
        <v>553</v>
      </c>
      <c r="C571" t="s">
        <v>554</v>
      </c>
      <c r="D571" t="s">
        <v>20</v>
      </c>
      <c r="E571" t="s">
        <v>53</v>
      </c>
      <c r="F571" t="s">
        <v>54</v>
      </c>
      <c r="G571" t="s">
        <v>54</v>
      </c>
      <c r="H571" t="s">
        <v>54</v>
      </c>
      <c r="J571" t="s">
        <v>217</v>
      </c>
      <c r="K571" t="s">
        <v>218</v>
      </c>
      <c r="O571">
        <v>10</v>
      </c>
      <c r="P571">
        <f>COUNTIFS(keyword_comparison[record_identifier],keyword_comparison[[#This Row],[record_identifier]],keyword_comparison[Review],"&lt;&gt;")</f>
        <v>12</v>
      </c>
      <c r="Q571" cm="1">
        <f t="array" ref="Q571">SUMPRODUCT((keyword_comparison[record_identifier]=keyword_comparison[[#This Row],[record_identifier]])*(LEN(keyword_comparison[keyword_matcher_output])&gt;0))</f>
        <v>1</v>
      </c>
    </row>
    <row r="572" spans="1:17" x14ac:dyDescent="0.25">
      <c r="A572" t="s">
        <v>569</v>
      </c>
      <c r="B572" t="s">
        <v>570</v>
      </c>
      <c r="C572" t="s">
        <v>571</v>
      </c>
      <c r="D572" t="s">
        <v>20</v>
      </c>
      <c r="E572" t="s">
        <v>21</v>
      </c>
      <c r="F572" t="s">
        <v>32</v>
      </c>
      <c r="G572" t="s">
        <v>31</v>
      </c>
      <c r="H572" t="s">
        <v>54</v>
      </c>
      <c r="P572">
        <f>COUNTIFS(keyword_comparison[record_identifier],keyword_comparison[[#This Row],[record_identifier]],keyword_comparison[Review],"&lt;&gt;")</f>
        <v>27</v>
      </c>
      <c r="Q572" cm="1">
        <f t="array" ref="Q572">SUMPRODUCT((keyword_comparison[record_identifier]=keyword_comparison[[#This Row],[record_identifier]])*(LEN(keyword_comparison[keyword_matcher_output])&gt;0))</f>
        <v>0</v>
      </c>
    </row>
    <row r="573" spans="1:17" x14ac:dyDescent="0.25">
      <c r="A573" t="s">
        <v>569</v>
      </c>
      <c r="B573" t="s">
        <v>570</v>
      </c>
      <c r="C573" t="s">
        <v>571</v>
      </c>
      <c r="D573" t="s">
        <v>20</v>
      </c>
      <c r="E573" t="s">
        <v>21</v>
      </c>
      <c r="F573" t="s">
        <v>30</v>
      </c>
      <c r="G573" t="s">
        <v>31</v>
      </c>
      <c r="H573" t="s">
        <v>54</v>
      </c>
      <c r="P573">
        <f>COUNTIFS(keyword_comparison[record_identifier],keyword_comparison[[#This Row],[record_identifier]],keyword_comparison[Review],"&lt;&gt;")</f>
        <v>27</v>
      </c>
      <c r="Q573" cm="1">
        <f t="array" ref="Q573">SUMPRODUCT((keyword_comparison[record_identifier]=keyword_comparison[[#This Row],[record_identifier]])*(LEN(keyword_comparison[keyword_matcher_output])&gt;0))</f>
        <v>0</v>
      </c>
    </row>
    <row r="574" spans="1:17" x14ac:dyDescent="0.25">
      <c r="A574" t="s">
        <v>569</v>
      </c>
      <c r="B574" t="s">
        <v>570</v>
      </c>
      <c r="C574" t="s">
        <v>571</v>
      </c>
      <c r="D574" t="s">
        <v>20</v>
      </c>
      <c r="E574" t="s">
        <v>33</v>
      </c>
      <c r="H574" t="s">
        <v>54</v>
      </c>
      <c r="I574" t="s">
        <v>80</v>
      </c>
      <c r="J574" t="s">
        <v>550</v>
      </c>
      <c r="K574" t="s">
        <v>551</v>
      </c>
      <c r="M574">
        <v>0.43840000000000001</v>
      </c>
      <c r="N574">
        <v>1</v>
      </c>
      <c r="P574">
        <f>COUNTIFS(keyword_comparison[record_identifier],keyword_comparison[[#This Row],[record_identifier]],keyword_comparison[Review],"&lt;&gt;")</f>
        <v>27</v>
      </c>
      <c r="Q574" cm="1">
        <f t="array" ref="Q574">SUMPRODUCT((keyword_comparison[record_identifier]=keyword_comparison[[#This Row],[record_identifier]])*(LEN(keyword_comparison[keyword_matcher_output])&gt;0))</f>
        <v>0</v>
      </c>
    </row>
    <row r="575" spans="1:17" x14ac:dyDescent="0.25">
      <c r="A575" t="s">
        <v>569</v>
      </c>
      <c r="B575" t="s">
        <v>570</v>
      </c>
      <c r="C575" t="s">
        <v>571</v>
      </c>
      <c r="D575" t="s">
        <v>20</v>
      </c>
      <c r="E575" t="s">
        <v>33</v>
      </c>
      <c r="H575" t="s">
        <v>54</v>
      </c>
      <c r="I575" t="s">
        <v>88</v>
      </c>
      <c r="J575" t="s">
        <v>572</v>
      </c>
      <c r="K575" t="s">
        <v>573</v>
      </c>
      <c r="M575">
        <v>0.43709999999999999</v>
      </c>
      <c r="N575">
        <v>2</v>
      </c>
      <c r="P575">
        <f>COUNTIFS(keyword_comparison[record_identifier],keyword_comparison[[#This Row],[record_identifier]],keyword_comparison[Review],"&lt;&gt;")</f>
        <v>27</v>
      </c>
      <c r="Q575" cm="1">
        <f t="array" ref="Q575">SUMPRODUCT((keyword_comparison[record_identifier]=keyword_comparison[[#This Row],[record_identifier]])*(LEN(keyword_comparison[keyword_matcher_output])&gt;0))</f>
        <v>0</v>
      </c>
    </row>
    <row r="576" spans="1:17" x14ac:dyDescent="0.25">
      <c r="A576" t="s">
        <v>569</v>
      </c>
      <c r="B576" t="s">
        <v>570</v>
      </c>
      <c r="C576" t="s">
        <v>571</v>
      </c>
      <c r="D576" t="s">
        <v>20</v>
      </c>
      <c r="E576" t="s">
        <v>33</v>
      </c>
      <c r="H576" t="s">
        <v>54</v>
      </c>
      <c r="I576" t="s">
        <v>88</v>
      </c>
      <c r="J576" t="s">
        <v>447</v>
      </c>
      <c r="K576" t="s">
        <v>448</v>
      </c>
      <c r="M576">
        <v>0.2762</v>
      </c>
      <c r="N576">
        <v>3</v>
      </c>
      <c r="P576">
        <f>COUNTIFS(keyword_comparison[record_identifier],keyword_comparison[[#This Row],[record_identifier]],keyword_comparison[Review],"&lt;&gt;")</f>
        <v>27</v>
      </c>
      <c r="Q576" cm="1">
        <f t="array" ref="Q576">SUMPRODUCT((keyword_comparison[record_identifier]=keyword_comparison[[#This Row],[record_identifier]])*(LEN(keyword_comparison[keyword_matcher_output])&gt;0))</f>
        <v>0</v>
      </c>
    </row>
    <row r="577" spans="1:17" x14ac:dyDescent="0.25">
      <c r="A577" t="s">
        <v>569</v>
      </c>
      <c r="B577" t="s">
        <v>570</v>
      </c>
      <c r="C577" t="s">
        <v>571</v>
      </c>
      <c r="D577" t="s">
        <v>20</v>
      </c>
      <c r="E577" t="s">
        <v>33</v>
      </c>
      <c r="H577" t="s">
        <v>54</v>
      </c>
      <c r="I577" t="s">
        <v>80</v>
      </c>
      <c r="J577" t="s">
        <v>574</v>
      </c>
      <c r="K577" t="s">
        <v>575</v>
      </c>
      <c r="L577" t="b">
        <v>1</v>
      </c>
      <c r="M577">
        <v>0.14050000000000001</v>
      </c>
      <c r="N577">
        <v>4</v>
      </c>
      <c r="P577">
        <f>COUNTIFS(keyword_comparison[record_identifier],keyword_comparison[[#This Row],[record_identifier]],keyword_comparison[Review],"&lt;&gt;")</f>
        <v>27</v>
      </c>
      <c r="Q577" cm="1">
        <f t="array" ref="Q577">SUMPRODUCT((keyword_comparison[record_identifier]=keyword_comparison[[#This Row],[record_identifier]])*(LEN(keyword_comparison[keyword_matcher_output])&gt;0))</f>
        <v>0</v>
      </c>
    </row>
    <row r="578" spans="1:17" x14ac:dyDescent="0.25">
      <c r="A578" t="s">
        <v>569</v>
      </c>
      <c r="B578" t="s">
        <v>570</v>
      </c>
      <c r="C578" t="s">
        <v>571</v>
      </c>
      <c r="D578" t="s">
        <v>20</v>
      </c>
      <c r="E578" t="s">
        <v>33</v>
      </c>
      <c r="H578" t="s">
        <v>54</v>
      </c>
      <c r="I578" t="s">
        <v>80</v>
      </c>
      <c r="J578" t="s">
        <v>186</v>
      </c>
      <c r="K578" t="s">
        <v>174</v>
      </c>
      <c r="M578">
        <v>0.11260000000000001</v>
      </c>
      <c r="N578">
        <v>5</v>
      </c>
      <c r="P578">
        <f>COUNTIFS(keyword_comparison[record_identifier],keyword_comparison[[#This Row],[record_identifier]],keyword_comparison[Review],"&lt;&gt;")</f>
        <v>27</v>
      </c>
      <c r="Q578" cm="1">
        <f t="array" ref="Q578">SUMPRODUCT((keyword_comparison[record_identifier]=keyword_comparison[[#This Row],[record_identifier]])*(LEN(keyword_comparison[keyword_matcher_output])&gt;0))</f>
        <v>0</v>
      </c>
    </row>
    <row r="579" spans="1:17" x14ac:dyDescent="0.25">
      <c r="A579" t="s">
        <v>569</v>
      </c>
      <c r="B579" t="s">
        <v>570</v>
      </c>
      <c r="C579" t="s">
        <v>571</v>
      </c>
      <c r="D579" t="s">
        <v>20</v>
      </c>
      <c r="E579" t="s">
        <v>33</v>
      </c>
      <c r="H579" t="s">
        <v>54</v>
      </c>
      <c r="I579" t="s">
        <v>80</v>
      </c>
      <c r="J579" t="s">
        <v>51</v>
      </c>
      <c r="K579" t="s">
        <v>52</v>
      </c>
      <c r="M579">
        <v>0.109</v>
      </c>
      <c r="N579">
        <v>6</v>
      </c>
      <c r="P579">
        <f>COUNTIFS(keyword_comparison[record_identifier],keyword_comparison[[#This Row],[record_identifier]],keyword_comparison[Review],"&lt;&gt;")</f>
        <v>27</v>
      </c>
      <c r="Q579" cm="1">
        <f t="array" ref="Q579">SUMPRODUCT((keyword_comparison[record_identifier]=keyword_comparison[[#This Row],[record_identifier]])*(LEN(keyword_comparison[keyword_matcher_output])&gt;0))</f>
        <v>0</v>
      </c>
    </row>
    <row r="580" spans="1:17" x14ac:dyDescent="0.25">
      <c r="A580" t="s">
        <v>569</v>
      </c>
      <c r="B580" t="s">
        <v>570</v>
      </c>
      <c r="C580" t="s">
        <v>571</v>
      </c>
      <c r="D580" t="s">
        <v>20</v>
      </c>
      <c r="E580" t="s">
        <v>33</v>
      </c>
      <c r="H580" t="s">
        <v>54</v>
      </c>
      <c r="I580" t="s">
        <v>80</v>
      </c>
      <c r="J580" t="s">
        <v>187</v>
      </c>
      <c r="K580" t="s">
        <v>188</v>
      </c>
      <c r="M580">
        <v>8.72E-2</v>
      </c>
      <c r="N580">
        <v>7</v>
      </c>
      <c r="P580">
        <f>COUNTIFS(keyword_comparison[record_identifier],keyword_comparison[[#This Row],[record_identifier]],keyword_comparison[Review],"&lt;&gt;")</f>
        <v>27</v>
      </c>
      <c r="Q580" cm="1">
        <f t="array" ref="Q580">SUMPRODUCT((keyword_comparison[record_identifier]=keyword_comparison[[#This Row],[record_identifier]])*(LEN(keyword_comparison[keyword_matcher_output])&gt;0))</f>
        <v>0</v>
      </c>
    </row>
    <row r="581" spans="1:17" x14ac:dyDescent="0.25">
      <c r="A581" t="s">
        <v>569</v>
      </c>
      <c r="B581" t="s">
        <v>570</v>
      </c>
      <c r="C581" t="s">
        <v>571</v>
      </c>
      <c r="D581" t="s">
        <v>20</v>
      </c>
      <c r="E581" t="s">
        <v>33</v>
      </c>
      <c r="H581" t="s">
        <v>54</v>
      </c>
      <c r="I581" t="s">
        <v>80</v>
      </c>
      <c r="J581" t="s">
        <v>191</v>
      </c>
      <c r="K581" t="s">
        <v>192</v>
      </c>
      <c r="M581">
        <v>5.8599999999999999E-2</v>
      </c>
      <c r="N581">
        <v>8</v>
      </c>
      <c r="P581">
        <f>COUNTIFS(keyword_comparison[record_identifier],keyword_comparison[[#This Row],[record_identifier]],keyword_comparison[Review],"&lt;&gt;")</f>
        <v>27</v>
      </c>
      <c r="Q581" cm="1">
        <f t="array" ref="Q581">SUMPRODUCT((keyword_comparison[record_identifier]=keyword_comparison[[#This Row],[record_identifier]])*(LEN(keyword_comparison[keyword_matcher_output])&gt;0))</f>
        <v>0</v>
      </c>
    </row>
    <row r="582" spans="1:17" x14ac:dyDescent="0.25">
      <c r="A582" t="s">
        <v>569</v>
      </c>
      <c r="B582" t="s">
        <v>570</v>
      </c>
      <c r="C582" t="s">
        <v>571</v>
      </c>
      <c r="D582" t="s">
        <v>20</v>
      </c>
      <c r="E582" t="s">
        <v>48</v>
      </c>
      <c r="H582" t="s">
        <v>54</v>
      </c>
      <c r="I582" t="s">
        <v>88</v>
      </c>
      <c r="J582" t="s">
        <v>42</v>
      </c>
      <c r="K582" t="s">
        <v>43</v>
      </c>
      <c r="P582">
        <f>COUNTIFS(keyword_comparison[record_identifier],keyword_comparison[[#This Row],[record_identifier]],keyword_comparison[Review],"&lt;&gt;")</f>
        <v>27</v>
      </c>
      <c r="Q582" cm="1">
        <f t="array" ref="Q582">SUMPRODUCT((keyword_comparison[record_identifier]=keyword_comparison[[#This Row],[record_identifier]])*(LEN(keyword_comparison[keyword_matcher_output])&gt;0))</f>
        <v>0</v>
      </c>
    </row>
    <row r="583" spans="1:17" x14ac:dyDescent="0.25">
      <c r="A583" t="s">
        <v>569</v>
      </c>
      <c r="B583" t="s">
        <v>570</v>
      </c>
      <c r="C583" t="s">
        <v>571</v>
      </c>
      <c r="D583" t="s">
        <v>20</v>
      </c>
      <c r="E583" t="s">
        <v>48</v>
      </c>
      <c r="H583" t="s">
        <v>54</v>
      </c>
      <c r="I583" t="s">
        <v>88</v>
      </c>
      <c r="J583" t="s">
        <v>576</v>
      </c>
      <c r="K583" t="s">
        <v>198</v>
      </c>
      <c r="P583">
        <f>COUNTIFS(keyword_comparison[record_identifier],keyword_comparison[[#This Row],[record_identifier]],keyword_comparison[Review],"&lt;&gt;")</f>
        <v>27</v>
      </c>
      <c r="Q583" cm="1">
        <f t="array" ref="Q583">SUMPRODUCT((keyword_comparison[record_identifier]=keyword_comparison[[#This Row],[record_identifier]])*(LEN(keyword_comparison[keyword_matcher_output])&gt;0))</f>
        <v>0</v>
      </c>
    </row>
    <row r="584" spans="1:17" x14ac:dyDescent="0.25">
      <c r="A584" t="s">
        <v>569</v>
      </c>
      <c r="B584" t="s">
        <v>570</v>
      </c>
      <c r="C584" t="s">
        <v>571</v>
      </c>
      <c r="D584" t="s">
        <v>20</v>
      </c>
      <c r="E584" t="s">
        <v>48</v>
      </c>
      <c r="H584" t="s">
        <v>54</v>
      </c>
      <c r="I584" t="s">
        <v>80</v>
      </c>
      <c r="J584" t="s">
        <v>34</v>
      </c>
      <c r="K584" t="s">
        <v>35</v>
      </c>
      <c r="P584">
        <f>COUNTIFS(keyword_comparison[record_identifier],keyword_comparison[[#This Row],[record_identifier]],keyword_comparison[Review],"&lt;&gt;")</f>
        <v>27</v>
      </c>
      <c r="Q584" cm="1">
        <f t="array" ref="Q584">SUMPRODUCT((keyword_comparison[record_identifier]=keyword_comparison[[#This Row],[record_identifier]])*(LEN(keyword_comparison[keyword_matcher_output])&gt;0))</f>
        <v>0</v>
      </c>
    </row>
    <row r="585" spans="1:17" x14ac:dyDescent="0.25">
      <c r="A585" t="s">
        <v>569</v>
      </c>
      <c r="B585" t="s">
        <v>570</v>
      </c>
      <c r="C585" t="s">
        <v>571</v>
      </c>
      <c r="D585" t="s">
        <v>20</v>
      </c>
      <c r="E585" t="s">
        <v>48</v>
      </c>
      <c r="H585" t="s">
        <v>54</v>
      </c>
      <c r="I585" t="s">
        <v>80</v>
      </c>
      <c r="J585" t="s">
        <v>195</v>
      </c>
      <c r="K585" t="s">
        <v>196</v>
      </c>
      <c r="P585">
        <f>COUNTIFS(keyword_comparison[record_identifier],keyword_comparison[[#This Row],[record_identifier]],keyword_comparison[Review],"&lt;&gt;")</f>
        <v>27</v>
      </c>
      <c r="Q585" cm="1">
        <f t="array" ref="Q585">SUMPRODUCT((keyword_comparison[record_identifier]=keyword_comparison[[#This Row],[record_identifier]])*(LEN(keyword_comparison[keyword_matcher_output])&gt;0))</f>
        <v>0</v>
      </c>
    </row>
    <row r="586" spans="1:17" x14ac:dyDescent="0.25">
      <c r="A586" t="s">
        <v>569</v>
      </c>
      <c r="B586" t="s">
        <v>570</v>
      </c>
      <c r="C586" t="s">
        <v>571</v>
      </c>
      <c r="D586" t="s">
        <v>20</v>
      </c>
      <c r="E586" t="s">
        <v>48</v>
      </c>
      <c r="H586" t="s">
        <v>54</v>
      </c>
      <c r="I586" t="s">
        <v>80</v>
      </c>
      <c r="J586" t="s">
        <v>51</v>
      </c>
      <c r="K586" t="s">
        <v>52</v>
      </c>
      <c r="P586">
        <f>COUNTIFS(keyword_comparison[record_identifier],keyword_comparison[[#This Row],[record_identifier]],keyword_comparison[Review],"&lt;&gt;")</f>
        <v>27</v>
      </c>
      <c r="Q586" cm="1">
        <f t="array" ref="Q586">SUMPRODUCT((keyword_comparison[record_identifier]=keyword_comparison[[#This Row],[record_identifier]])*(LEN(keyword_comparison[keyword_matcher_output])&gt;0))</f>
        <v>0</v>
      </c>
    </row>
    <row r="587" spans="1:17" x14ac:dyDescent="0.25">
      <c r="A587" t="s">
        <v>569</v>
      </c>
      <c r="B587" t="s">
        <v>570</v>
      </c>
      <c r="C587" t="s">
        <v>571</v>
      </c>
      <c r="D587" t="s">
        <v>20</v>
      </c>
      <c r="E587" t="s">
        <v>48</v>
      </c>
      <c r="H587" t="s">
        <v>54</v>
      </c>
      <c r="I587" t="s">
        <v>88</v>
      </c>
      <c r="J587" t="s">
        <v>577</v>
      </c>
      <c r="K587" t="s">
        <v>578</v>
      </c>
      <c r="P587">
        <f>COUNTIFS(keyword_comparison[record_identifier],keyword_comparison[[#This Row],[record_identifier]],keyword_comparison[Review],"&lt;&gt;")</f>
        <v>27</v>
      </c>
      <c r="Q587" cm="1">
        <f t="array" ref="Q587">SUMPRODUCT((keyword_comparison[record_identifier]=keyword_comparison[[#This Row],[record_identifier]])*(LEN(keyword_comparison[keyword_matcher_output])&gt;0))</f>
        <v>0</v>
      </c>
    </row>
    <row r="588" spans="1:17" x14ac:dyDescent="0.25">
      <c r="A588" t="s">
        <v>569</v>
      </c>
      <c r="B588" t="s">
        <v>570</v>
      </c>
      <c r="C588" t="s">
        <v>571</v>
      </c>
      <c r="D588" t="s">
        <v>20</v>
      </c>
      <c r="E588" t="s">
        <v>48</v>
      </c>
      <c r="H588" t="s">
        <v>54</v>
      </c>
      <c r="I588" t="s">
        <v>80</v>
      </c>
      <c r="J588" t="s">
        <v>84</v>
      </c>
      <c r="K588" t="s">
        <v>85</v>
      </c>
      <c r="P588">
        <f>COUNTIFS(keyword_comparison[record_identifier],keyword_comparison[[#This Row],[record_identifier]],keyword_comparison[Review],"&lt;&gt;")</f>
        <v>27</v>
      </c>
      <c r="Q588" cm="1">
        <f t="array" ref="Q588">SUMPRODUCT((keyword_comparison[record_identifier]=keyword_comparison[[#This Row],[record_identifier]])*(LEN(keyword_comparison[keyword_matcher_output])&gt;0))</f>
        <v>0</v>
      </c>
    </row>
    <row r="589" spans="1:17" x14ac:dyDescent="0.25">
      <c r="A589" t="s">
        <v>569</v>
      </c>
      <c r="B589" t="s">
        <v>570</v>
      </c>
      <c r="C589" t="s">
        <v>571</v>
      </c>
      <c r="D589" t="s">
        <v>20</v>
      </c>
      <c r="E589" t="s">
        <v>48</v>
      </c>
      <c r="H589" t="s">
        <v>54</v>
      </c>
      <c r="I589" t="s">
        <v>88</v>
      </c>
      <c r="J589" t="s">
        <v>49</v>
      </c>
      <c r="K589" t="s">
        <v>50</v>
      </c>
      <c r="P589">
        <f>COUNTIFS(keyword_comparison[record_identifier],keyword_comparison[[#This Row],[record_identifier]],keyword_comparison[Review],"&lt;&gt;")</f>
        <v>27</v>
      </c>
      <c r="Q589" cm="1">
        <f t="array" ref="Q589">SUMPRODUCT((keyword_comparison[record_identifier]=keyword_comparison[[#This Row],[record_identifier]])*(LEN(keyword_comparison[keyword_matcher_output])&gt;0))</f>
        <v>0</v>
      </c>
    </row>
    <row r="590" spans="1:17" x14ac:dyDescent="0.25">
      <c r="A590" t="s">
        <v>569</v>
      </c>
      <c r="B590" t="s">
        <v>570</v>
      </c>
      <c r="C590" t="s">
        <v>571</v>
      </c>
      <c r="D590" t="s">
        <v>20</v>
      </c>
      <c r="E590" t="s">
        <v>48</v>
      </c>
      <c r="H590" t="s">
        <v>54</v>
      </c>
      <c r="I590" t="s">
        <v>88</v>
      </c>
      <c r="J590" t="s">
        <v>579</v>
      </c>
      <c r="K590" t="s">
        <v>580</v>
      </c>
      <c r="P590">
        <f>COUNTIFS(keyword_comparison[record_identifier],keyword_comparison[[#This Row],[record_identifier]],keyword_comparison[Review],"&lt;&gt;")</f>
        <v>27</v>
      </c>
      <c r="Q590" cm="1">
        <f t="array" ref="Q590">SUMPRODUCT((keyword_comparison[record_identifier]=keyword_comparison[[#This Row],[record_identifier]])*(LEN(keyword_comparison[keyword_matcher_output])&gt;0))</f>
        <v>0</v>
      </c>
    </row>
    <row r="591" spans="1:17" x14ac:dyDescent="0.25">
      <c r="A591" t="s">
        <v>569</v>
      </c>
      <c r="B591" t="s">
        <v>570</v>
      </c>
      <c r="C591" t="s">
        <v>571</v>
      </c>
      <c r="D591" t="s">
        <v>20</v>
      </c>
      <c r="E591" t="s">
        <v>53</v>
      </c>
      <c r="F591" t="s">
        <v>54</v>
      </c>
      <c r="G591" t="s">
        <v>54</v>
      </c>
      <c r="H591" t="s">
        <v>54</v>
      </c>
      <c r="I591" t="s">
        <v>88</v>
      </c>
      <c r="J591" t="s">
        <v>576</v>
      </c>
      <c r="K591" t="s">
        <v>198</v>
      </c>
      <c r="O591">
        <v>1</v>
      </c>
      <c r="P591">
        <f>COUNTIFS(keyword_comparison[record_identifier],keyword_comparison[[#This Row],[record_identifier]],keyword_comparison[Review],"&lt;&gt;")</f>
        <v>27</v>
      </c>
      <c r="Q591" cm="1">
        <f t="array" ref="Q591">SUMPRODUCT((keyword_comparison[record_identifier]=keyword_comparison[[#This Row],[record_identifier]])*(LEN(keyword_comparison[keyword_matcher_output])&gt;0))</f>
        <v>0</v>
      </c>
    </row>
    <row r="592" spans="1:17" x14ac:dyDescent="0.25">
      <c r="A592" t="s">
        <v>569</v>
      </c>
      <c r="B592" t="s">
        <v>570</v>
      </c>
      <c r="C592" t="s">
        <v>571</v>
      </c>
      <c r="D592" t="s">
        <v>20</v>
      </c>
      <c r="E592" t="s">
        <v>53</v>
      </c>
      <c r="F592" t="s">
        <v>54</v>
      </c>
      <c r="G592" t="s">
        <v>54</v>
      </c>
      <c r="H592" t="s">
        <v>54</v>
      </c>
      <c r="I592" t="s">
        <v>80</v>
      </c>
      <c r="J592" t="s">
        <v>581</v>
      </c>
      <c r="K592" t="s">
        <v>582</v>
      </c>
      <c r="O592">
        <v>2</v>
      </c>
      <c r="P592">
        <f>COUNTIFS(keyword_comparison[record_identifier],keyword_comparison[[#This Row],[record_identifier]],keyword_comparison[Review],"&lt;&gt;")</f>
        <v>27</v>
      </c>
      <c r="Q592" cm="1">
        <f t="array" ref="Q592">SUMPRODUCT((keyword_comparison[record_identifier]=keyword_comparison[[#This Row],[record_identifier]])*(LEN(keyword_comparison[keyword_matcher_output])&gt;0))</f>
        <v>0</v>
      </c>
    </row>
    <row r="593" spans="1:17" x14ac:dyDescent="0.25">
      <c r="A593" t="s">
        <v>569</v>
      </c>
      <c r="B593" t="s">
        <v>570</v>
      </c>
      <c r="C593" t="s">
        <v>571</v>
      </c>
      <c r="D593" t="s">
        <v>20</v>
      </c>
      <c r="E593" t="s">
        <v>53</v>
      </c>
      <c r="F593" t="s">
        <v>54</v>
      </c>
      <c r="G593" t="s">
        <v>54</v>
      </c>
      <c r="H593" t="s">
        <v>54</v>
      </c>
      <c r="I593" t="s">
        <v>80</v>
      </c>
      <c r="J593" t="s">
        <v>51</v>
      </c>
      <c r="K593" t="s">
        <v>52</v>
      </c>
      <c r="O593">
        <v>3</v>
      </c>
      <c r="P593">
        <f>COUNTIFS(keyword_comparison[record_identifier],keyword_comparison[[#This Row],[record_identifier]],keyword_comparison[Review],"&lt;&gt;")</f>
        <v>27</v>
      </c>
      <c r="Q593" cm="1">
        <f t="array" ref="Q593">SUMPRODUCT((keyword_comparison[record_identifier]=keyword_comparison[[#This Row],[record_identifier]])*(LEN(keyword_comparison[keyword_matcher_output])&gt;0))</f>
        <v>0</v>
      </c>
    </row>
    <row r="594" spans="1:17" x14ac:dyDescent="0.25">
      <c r="A594" t="s">
        <v>569</v>
      </c>
      <c r="B594" t="s">
        <v>570</v>
      </c>
      <c r="C594" t="s">
        <v>571</v>
      </c>
      <c r="D594" t="s">
        <v>20</v>
      </c>
      <c r="E594" t="s">
        <v>53</v>
      </c>
      <c r="F594" t="s">
        <v>54</v>
      </c>
      <c r="G594" t="s">
        <v>54</v>
      </c>
      <c r="H594" t="s">
        <v>54</v>
      </c>
      <c r="I594" t="s">
        <v>80</v>
      </c>
      <c r="J594" t="s">
        <v>550</v>
      </c>
      <c r="K594" t="s">
        <v>551</v>
      </c>
      <c r="O594">
        <v>4</v>
      </c>
      <c r="P594">
        <f>COUNTIFS(keyword_comparison[record_identifier],keyword_comparison[[#This Row],[record_identifier]],keyword_comparison[Review],"&lt;&gt;")</f>
        <v>27</v>
      </c>
      <c r="Q594" cm="1">
        <f t="array" ref="Q594">SUMPRODUCT((keyword_comparison[record_identifier]=keyword_comparison[[#This Row],[record_identifier]])*(LEN(keyword_comparison[keyword_matcher_output])&gt;0))</f>
        <v>0</v>
      </c>
    </row>
    <row r="595" spans="1:17" x14ac:dyDescent="0.25">
      <c r="A595" t="s">
        <v>569</v>
      </c>
      <c r="B595" t="s">
        <v>570</v>
      </c>
      <c r="C595" t="s">
        <v>571</v>
      </c>
      <c r="D595" t="s">
        <v>20</v>
      </c>
      <c r="E595" t="s">
        <v>53</v>
      </c>
      <c r="F595" t="s">
        <v>54</v>
      </c>
      <c r="G595" t="s">
        <v>54</v>
      </c>
      <c r="H595" t="s">
        <v>54</v>
      </c>
      <c r="I595" t="s">
        <v>80</v>
      </c>
      <c r="J595" t="s">
        <v>260</v>
      </c>
      <c r="K595" t="s">
        <v>261</v>
      </c>
      <c r="O595">
        <v>5</v>
      </c>
      <c r="P595">
        <f>COUNTIFS(keyword_comparison[record_identifier],keyword_comparison[[#This Row],[record_identifier]],keyword_comparison[Review],"&lt;&gt;")</f>
        <v>27</v>
      </c>
      <c r="Q595" cm="1">
        <f t="array" ref="Q595">SUMPRODUCT((keyword_comparison[record_identifier]=keyword_comparison[[#This Row],[record_identifier]])*(LEN(keyword_comparison[keyword_matcher_output])&gt;0))</f>
        <v>0</v>
      </c>
    </row>
    <row r="596" spans="1:17" x14ac:dyDescent="0.25">
      <c r="A596" t="s">
        <v>569</v>
      </c>
      <c r="B596" t="s">
        <v>570</v>
      </c>
      <c r="C596" t="s">
        <v>571</v>
      </c>
      <c r="D596" t="s">
        <v>20</v>
      </c>
      <c r="E596" t="s">
        <v>53</v>
      </c>
      <c r="F596" t="s">
        <v>54</v>
      </c>
      <c r="G596" t="s">
        <v>54</v>
      </c>
      <c r="H596" t="s">
        <v>54</v>
      </c>
      <c r="I596" t="s">
        <v>80</v>
      </c>
      <c r="J596" t="s">
        <v>447</v>
      </c>
      <c r="K596" t="s">
        <v>448</v>
      </c>
      <c r="O596">
        <v>6</v>
      </c>
      <c r="P596">
        <f>COUNTIFS(keyword_comparison[record_identifier],keyword_comparison[[#This Row],[record_identifier]],keyword_comparison[Review],"&lt;&gt;")</f>
        <v>27</v>
      </c>
      <c r="Q596" cm="1">
        <f t="array" ref="Q596">SUMPRODUCT((keyword_comparison[record_identifier]=keyword_comparison[[#This Row],[record_identifier]])*(LEN(keyword_comparison[keyword_matcher_output])&gt;0))</f>
        <v>0</v>
      </c>
    </row>
    <row r="597" spans="1:17" x14ac:dyDescent="0.25">
      <c r="A597" t="s">
        <v>569</v>
      </c>
      <c r="B597" t="s">
        <v>570</v>
      </c>
      <c r="C597" t="s">
        <v>571</v>
      </c>
      <c r="D597" t="s">
        <v>20</v>
      </c>
      <c r="E597" t="s">
        <v>53</v>
      </c>
      <c r="F597" t="s">
        <v>54</v>
      </c>
      <c r="G597" t="s">
        <v>54</v>
      </c>
      <c r="H597" t="s">
        <v>54</v>
      </c>
      <c r="I597" t="s">
        <v>80</v>
      </c>
      <c r="J597" t="s">
        <v>567</v>
      </c>
      <c r="K597" t="s">
        <v>568</v>
      </c>
      <c r="O597">
        <v>7</v>
      </c>
      <c r="P597">
        <f>COUNTIFS(keyword_comparison[record_identifier],keyword_comparison[[#This Row],[record_identifier]],keyword_comparison[Review],"&lt;&gt;")</f>
        <v>27</v>
      </c>
      <c r="Q597" cm="1">
        <f t="array" ref="Q597">SUMPRODUCT((keyword_comparison[record_identifier]=keyword_comparison[[#This Row],[record_identifier]])*(LEN(keyword_comparison[keyword_matcher_output])&gt;0))</f>
        <v>0</v>
      </c>
    </row>
    <row r="598" spans="1:17" x14ac:dyDescent="0.25">
      <c r="A598" t="s">
        <v>569</v>
      </c>
      <c r="B598" t="s">
        <v>570</v>
      </c>
      <c r="C598" t="s">
        <v>571</v>
      </c>
      <c r="D598" t="s">
        <v>20</v>
      </c>
      <c r="E598" t="s">
        <v>53</v>
      </c>
      <c r="F598" t="s">
        <v>54</v>
      </c>
      <c r="G598" t="s">
        <v>54</v>
      </c>
      <c r="H598" t="s">
        <v>54</v>
      </c>
      <c r="I598" t="s">
        <v>80</v>
      </c>
      <c r="J598" t="s">
        <v>583</v>
      </c>
      <c r="K598" t="s">
        <v>584</v>
      </c>
      <c r="O598">
        <v>8</v>
      </c>
      <c r="P598">
        <f>COUNTIFS(keyword_comparison[record_identifier],keyword_comparison[[#This Row],[record_identifier]],keyword_comparison[Review],"&lt;&gt;")</f>
        <v>27</v>
      </c>
      <c r="Q598" cm="1">
        <f t="array" ref="Q598">SUMPRODUCT((keyword_comparison[record_identifier]=keyword_comparison[[#This Row],[record_identifier]])*(LEN(keyword_comparison[keyword_matcher_output])&gt;0))</f>
        <v>0</v>
      </c>
    </row>
    <row r="599" spans="1:17" x14ac:dyDescent="0.25">
      <c r="A599" t="s">
        <v>569</v>
      </c>
      <c r="B599" t="s">
        <v>570</v>
      </c>
      <c r="C599" t="s">
        <v>571</v>
      </c>
      <c r="D599" t="s">
        <v>20</v>
      </c>
      <c r="E599" t="s">
        <v>53</v>
      </c>
      <c r="F599" t="s">
        <v>54</v>
      </c>
      <c r="G599" t="s">
        <v>54</v>
      </c>
      <c r="H599" t="s">
        <v>54</v>
      </c>
      <c r="I599" t="s">
        <v>80</v>
      </c>
      <c r="J599" t="s">
        <v>61</v>
      </c>
      <c r="K599" t="s">
        <v>62</v>
      </c>
      <c r="O599">
        <v>9</v>
      </c>
      <c r="P599">
        <f>COUNTIFS(keyword_comparison[record_identifier],keyword_comparison[[#This Row],[record_identifier]],keyword_comparison[Review],"&lt;&gt;")</f>
        <v>27</v>
      </c>
      <c r="Q599" cm="1">
        <f t="array" ref="Q599">SUMPRODUCT((keyword_comparison[record_identifier]=keyword_comparison[[#This Row],[record_identifier]])*(LEN(keyword_comparison[keyword_matcher_output])&gt;0))</f>
        <v>0</v>
      </c>
    </row>
    <row r="600" spans="1:17" x14ac:dyDescent="0.25">
      <c r="A600" t="s">
        <v>569</v>
      </c>
      <c r="B600" t="s">
        <v>570</v>
      </c>
      <c r="C600" t="s">
        <v>571</v>
      </c>
      <c r="D600" t="s">
        <v>20</v>
      </c>
      <c r="E600" t="s">
        <v>53</v>
      </c>
      <c r="F600" t="s">
        <v>54</v>
      </c>
      <c r="G600" t="s">
        <v>54</v>
      </c>
      <c r="H600" t="s">
        <v>54</v>
      </c>
      <c r="I600" t="s">
        <v>80</v>
      </c>
      <c r="J600" t="s">
        <v>204</v>
      </c>
      <c r="K600" t="s">
        <v>205</v>
      </c>
      <c r="O600">
        <v>10</v>
      </c>
      <c r="P600">
        <f>COUNTIFS(keyword_comparison[record_identifier],keyword_comparison[[#This Row],[record_identifier]],keyword_comparison[Review],"&lt;&gt;")</f>
        <v>27</v>
      </c>
      <c r="Q600" cm="1">
        <f t="array" ref="Q600">SUMPRODUCT((keyword_comparison[record_identifier]=keyword_comparison[[#This Row],[record_identifier]])*(LEN(keyword_comparison[keyword_matcher_output])&gt;0))</f>
        <v>0</v>
      </c>
    </row>
    <row r="601" spans="1:17" x14ac:dyDescent="0.25">
      <c r="A601" t="s">
        <v>585</v>
      </c>
      <c r="B601" t="s">
        <v>586</v>
      </c>
      <c r="C601" t="s">
        <v>587</v>
      </c>
      <c r="D601" t="s">
        <v>20</v>
      </c>
      <c r="E601" t="s">
        <v>21</v>
      </c>
      <c r="F601" t="s">
        <v>32</v>
      </c>
      <c r="G601" t="s">
        <v>31</v>
      </c>
      <c r="H601" t="s">
        <v>54</v>
      </c>
      <c r="P601">
        <f>COUNTIFS(keyword_comparison[record_identifier],keyword_comparison[[#This Row],[record_identifier]],keyword_comparison[Review],"&lt;&gt;")</f>
        <v>0</v>
      </c>
      <c r="Q601" cm="1">
        <f t="array" ref="Q601">SUMPRODUCT((keyword_comparison[record_identifier]=keyword_comparison[[#This Row],[record_identifier]])*(LEN(keyword_comparison[keyword_matcher_output])&gt;0))</f>
        <v>0</v>
      </c>
    </row>
    <row r="602" spans="1:17" x14ac:dyDescent="0.25">
      <c r="A602" t="s">
        <v>585</v>
      </c>
      <c r="B602" t="s">
        <v>586</v>
      </c>
      <c r="C602" t="s">
        <v>587</v>
      </c>
      <c r="D602" t="s">
        <v>20</v>
      </c>
      <c r="E602" t="s">
        <v>21</v>
      </c>
      <c r="F602" t="s">
        <v>30</v>
      </c>
      <c r="G602" t="s">
        <v>31</v>
      </c>
      <c r="H602" t="s">
        <v>54</v>
      </c>
      <c r="P602">
        <f>COUNTIFS(keyword_comparison[record_identifier],keyword_comparison[[#This Row],[record_identifier]],keyword_comparison[Review],"&lt;&gt;")</f>
        <v>0</v>
      </c>
      <c r="Q602" cm="1">
        <f t="array" ref="Q602">SUMPRODUCT((keyword_comparison[record_identifier]=keyword_comparison[[#This Row],[record_identifier]])*(LEN(keyword_comparison[keyword_matcher_output])&gt;0))</f>
        <v>0</v>
      </c>
    </row>
    <row r="603" spans="1:17" x14ac:dyDescent="0.25">
      <c r="A603" t="s">
        <v>585</v>
      </c>
      <c r="B603" t="s">
        <v>586</v>
      </c>
      <c r="C603" t="s">
        <v>587</v>
      </c>
      <c r="D603" t="s">
        <v>20</v>
      </c>
      <c r="E603" t="s">
        <v>53</v>
      </c>
      <c r="F603" t="s">
        <v>54</v>
      </c>
      <c r="G603" t="s">
        <v>54</v>
      </c>
      <c r="H603" t="s">
        <v>54</v>
      </c>
      <c r="J603" t="s">
        <v>57</v>
      </c>
      <c r="K603" t="s">
        <v>58</v>
      </c>
      <c r="O603">
        <v>1</v>
      </c>
      <c r="P603">
        <f>COUNTIFS(keyword_comparison[record_identifier],keyword_comparison[[#This Row],[record_identifier]],keyword_comparison[Review],"&lt;&gt;")</f>
        <v>0</v>
      </c>
      <c r="Q603" cm="1">
        <f t="array" ref="Q603">SUMPRODUCT((keyword_comparison[record_identifier]=keyword_comparison[[#This Row],[record_identifier]])*(LEN(keyword_comparison[keyword_matcher_output])&gt;0))</f>
        <v>0</v>
      </c>
    </row>
    <row r="604" spans="1:17" x14ac:dyDescent="0.25">
      <c r="A604" t="s">
        <v>585</v>
      </c>
      <c r="B604" t="s">
        <v>586</v>
      </c>
      <c r="C604" t="s">
        <v>587</v>
      </c>
      <c r="D604" t="s">
        <v>20</v>
      </c>
      <c r="E604" t="s">
        <v>53</v>
      </c>
      <c r="F604" t="s">
        <v>54</v>
      </c>
      <c r="G604" t="s">
        <v>54</v>
      </c>
      <c r="H604" t="s">
        <v>54</v>
      </c>
      <c r="J604" t="s">
        <v>42</v>
      </c>
      <c r="K604" t="s">
        <v>43</v>
      </c>
      <c r="O604">
        <v>2</v>
      </c>
      <c r="P604">
        <f>COUNTIFS(keyword_comparison[record_identifier],keyword_comparison[[#This Row],[record_identifier]],keyword_comparison[Review],"&lt;&gt;")</f>
        <v>0</v>
      </c>
      <c r="Q604" cm="1">
        <f t="array" ref="Q604">SUMPRODUCT((keyword_comparison[record_identifier]=keyword_comparison[[#This Row],[record_identifier]])*(LEN(keyword_comparison[keyword_matcher_output])&gt;0))</f>
        <v>0</v>
      </c>
    </row>
    <row r="605" spans="1:17" x14ac:dyDescent="0.25">
      <c r="A605" t="s">
        <v>585</v>
      </c>
      <c r="B605" t="s">
        <v>586</v>
      </c>
      <c r="C605" t="s">
        <v>587</v>
      </c>
      <c r="D605" t="s">
        <v>20</v>
      </c>
      <c r="E605" t="s">
        <v>53</v>
      </c>
      <c r="F605" t="s">
        <v>54</v>
      </c>
      <c r="G605" t="s">
        <v>54</v>
      </c>
      <c r="H605" t="s">
        <v>54</v>
      </c>
      <c r="J605" t="s">
        <v>588</v>
      </c>
      <c r="K605" t="s">
        <v>589</v>
      </c>
      <c r="O605">
        <v>3</v>
      </c>
      <c r="P605">
        <f>COUNTIFS(keyword_comparison[record_identifier],keyword_comparison[[#This Row],[record_identifier]],keyword_comparison[Review],"&lt;&gt;")</f>
        <v>0</v>
      </c>
      <c r="Q605" cm="1">
        <f t="array" ref="Q605">SUMPRODUCT((keyword_comparison[record_identifier]=keyword_comparison[[#This Row],[record_identifier]])*(LEN(keyword_comparison[keyword_matcher_output])&gt;0))</f>
        <v>0</v>
      </c>
    </row>
    <row r="606" spans="1:17" x14ac:dyDescent="0.25">
      <c r="A606" t="s">
        <v>585</v>
      </c>
      <c r="B606" t="s">
        <v>586</v>
      </c>
      <c r="C606" t="s">
        <v>587</v>
      </c>
      <c r="D606" t="s">
        <v>20</v>
      </c>
      <c r="E606" t="s">
        <v>53</v>
      </c>
      <c r="F606" t="s">
        <v>54</v>
      </c>
      <c r="G606" t="s">
        <v>54</v>
      </c>
      <c r="H606" t="s">
        <v>54</v>
      </c>
      <c r="J606" t="s">
        <v>55</v>
      </c>
      <c r="K606" t="s">
        <v>56</v>
      </c>
      <c r="O606">
        <v>4</v>
      </c>
      <c r="P606">
        <f>COUNTIFS(keyword_comparison[record_identifier],keyword_comparison[[#This Row],[record_identifier]],keyword_comparison[Review],"&lt;&gt;")</f>
        <v>0</v>
      </c>
      <c r="Q606" cm="1">
        <f t="array" ref="Q606">SUMPRODUCT((keyword_comparison[record_identifier]=keyword_comparison[[#This Row],[record_identifier]])*(LEN(keyword_comparison[keyword_matcher_output])&gt;0))</f>
        <v>0</v>
      </c>
    </row>
    <row r="607" spans="1:17" x14ac:dyDescent="0.25">
      <c r="A607" t="s">
        <v>590</v>
      </c>
      <c r="B607" t="s">
        <v>591</v>
      </c>
      <c r="C607" t="s">
        <v>592</v>
      </c>
      <c r="D607" t="s">
        <v>20</v>
      </c>
      <c r="E607" t="s">
        <v>33</v>
      </c>
      <c r="H607" t="s">
        <v>54</v>
      </c>
      <c r="I607" t="s">
        <v>80</v>
      </c>
      <c r="J607" t="s">
        <v>593</v>
      </c>
      <c r="K607" t="s">
        <v>594</v>
      </c>
      <c r="M607">
        <v>0.53190000000000004</v>
      </c>
      <c r="N607">
        <v>1</v>
      </c>
      <c r="P607">
        <f>COUNTIFS(keyword_comparison[record_identifier],keyword_comparison[[#This Row],[record_identifier]],keyword_comparison[Review],"&lt;&gt;")</f>
        <v>14</v>
      </c>
      <c r="Q607" cm="1">
        <f t="array" ref="Q607">SUMPRODUCT((keyword_comparison[record_identifier]=keyword_comparison[[#This Row],[record_identifier]])*(LEN(keyword_comparison[keyword_matcher_output])&gt;0))</f>
        <v>0</v>
      </c>
    </row>
    <row r="608" spans="1:17" x14ac:dyDescent="0.25">
      <c r="A608" t="s">
        <v>590</v>
      </c>
      <c r="B608" t="s">
        <v>591</v>
      </c>
      <c r="C608" t="s">
        <v>592</v>
      </c>
      <c r="D608" t="s">
        <v>20</v>
      </c>
      <c r="E608" t="s">
        <v>33</v>
      </c>
      <c r="H608" t="s">
        <v>54</v>
      </c>
      <c r="I608" t="s">
        <v>80</v>
      </c>
      <c r="J608" t="s">
        <v>595</v>
      </c>
      <c r="K608" t="s">
        <v>596</v>
      </c>
      <c r="M608">
        <v>9.7500000000000003E-2</v>
      </c>
      <c r="N608">
        <v>2</v>
      </c>
      <c r="P608">
        <f>COUNTIFS(keyword_comparison[record_identifier],keyword_comparison[[#This Row],[record_identifier]],keyword_comparison[Review],"&lt;&gt;")</f>
        <v>14</v>
      </c>
      <c r="Q608" cm="1">
        <f t="array" ref="Q608">SUMPRODUCT((keyword_comparison[record_identifier]=keyword_comparison[[#This Row],[record_identifier]])*(LEN(keyword_comparison[keyword_matcher_output])&gt;0))</f>
        <v>0</v>
      </c>
    </row>
    <row r="609" spans="1:17" x14ac:dyDescent="0.25">
      <c r="A609" t="s">
        <v>590</v>
      </c>
      <c r="B609" t="s">
        <v>591</v>
      </c>
      <c r="C609" t="s">
        <v>592</v>
      </c>
      <c r="D609" t="s">
        <v>20</v>
      </c>
      <c r="E609" t="s">
        <v>33</v>
      </c>
      <c r="H609" t="s">
        <v>54</v>
      </c>
      <c r="I609" t="s">
        <v>80</v>
      </c>
      <c r="J609" t="s">
        <v>239</v>
      </c>
      <c r="K609" t="s">
        <v>124</v>
      </c>
      <c r="M609">
        <v>9.3899999999999997E-2</v>
      </c>
      <c r="N609">
        <v>3</v>
      </c>
      <c r="P609">
        <f>COUNTIFS(keyword_comparison[record_identifier],keyword_comparison[[#This Row],[record_identifier]],keyword_comparison[Review],"&lt;&gt;")</f>
        <v>14</v>
      </c>
      <c r="Q609" cm="1">
        <f t="array" ref="Q609">SUMPRODUCT((keyword_comparison[record_identifier]=keyword_comparison[[#This Row],[record_identifier]])*(LEN(keyword_comparison[keyword_matcher_output])&gt;0))</f>
        <v>0</v>
      </c>
    </row>
    <row r="610" spans="1:17" x14ac:dyDescent="0.25">
      <c r="A610" t="s">
        <v>590</v>
      </c>
      <c r="B610" t="s">
        <v>591</v>
      </c>
      <c r="C610" t="s">
        <v>592</v>
      </c>
      <c r="D610" t="s">
        <v>20</v>
      </c>
      <c r="E610" t="s">
        <v>48</v>
      </c>
      <c r="H610" t="s">
        <v>54</v>
      </c>
      <c r="I610" t="s">
        <v>80</v>
      </c>
      <c r="J610" t="s">
        <v>597</v>
      </c>
      <c r="K610" t="s">
        <v>596</v>
      </c>
      <c r="P610">
        <f>COUNTIFS(keyword_comparison[record_identifier],keyword_comparison[[#This Row],[record_identifier]],keyword_comparison[Review],"&lt;&gt;")</f>
        <v>14</v>
      </c>
      <c r="Q610" cm="1">
        <f t="array" ref="Q610">SUMPRODUCT((keyword_comparison[record_identifier]=keyword_comparison[[#This Row],[record_identifier]])*(LEN(keyword_comparison[keyword_matcher_output])&gt;0))</f>
        <v>0</v>
      </c>
    </row>
    <row r="611" spans="1:17" x14ac:dyDescent="0.25">
      <c r="A611" t="s">
        <v>590</v>
      </c>
      <c r="B611" t="s">
        <v>591</v>
      </c>
      <c r="C611" t="s">
        <v>592</v>
      </c>
      <c r="D611" t="s">
        <v>20</v>
      </c>
      <c r="E611" t="s">
        <v>53</v>
      </c>
      <c r="F611" t="s">
        <v>54</v>
      </c>
      <c r="G611" t="s">
        <v>54</v>
      </c>
      <c r="H611" t="s">
        <v>54</v>
      </c>
      <c r="I611" t="s">
        <v>80</v>
      </c>
      <c r="J611" t="s">
        <v>597</v>
      </c>
      <c r="K611" t="s">
        <v>596</v>
      </c>
      <c r="O611">
        <v>1</v>
      </c>
      <c r="P611">
        <f>COUNTIFS(keyword_comparison[record_identifier],keyword_comparison[[#This Row],[record_identifier]],keyword_comparison[Review],"&lt;&gt;")</f>
        <v>14</v>
      </c>
      <c r="Q611" cm="1">
        <f t="array" ref="Q611">SUMPRODUCT((keyword_comparison[record_identifier]=keyword_comparison[[#This Row],[record_identifier]])*(LEN(keyword_comparison[keyword_matcher_output])&gt;0))</f>
        <v>0</v>
      </c>
    </row>
    <row r="612" spans="1:17" x14ac:dyDescent="0.25">
      <c r="A612" t="s">
        <v>590</v>
      </c>
      <c r="B612" t="s">
        <v>591</v>
      </c>
      <c r="C612" t="s">
        <v>592</v>
      </c>
      <c r="D612" t="s">
        <v>20</v>
      </c>
      <c r="E612" t="s">
        <v>53</v>
      </c>
      <c r="F612" t="s">
        <v>54</v>
      </c>
      <c r="G612" t="s">
        <v>54</v>
      </c>
      <c r="H612" t="s">
        <v>54</v>
      </c>
      <c r="I612" t="s">
        <v>80</v>
      </c>
      <c r="J612" t="s">
        <v>598</v>
      </c>
      <c r="K612" t="s">
        <v>594</v>
      </c>
      <c r="O612">
        <v>2</v>
      </c>
      <c r="P612">
        <f>COUNTIFS(keyword_comparison[record_identifier],keyword_comparison[[#This Row],[record_identifier]],keyword_comparison[Review],"&lt;&gt;")</f>
        <v>14</v>
      </c>
      <c r="Q612" cm="1">
        <f t="array" ref="Q612">SUMPRODUCT((keyword_comparison[record_identifier]=keyword_comparison[[#This Row],[record_identifier]])*(LEN(keyword_comparison[keyword_matcher_output])&gt;0))</f>
        <v>0</v>
      </c>
    </row>
    <row r="613" spans="1:17" x14ac:dyDescent="0.25">
      <c r="A613" t="s">
        <v>590</v>
      </c>
      <c r="B613" t="s">
        <v>591</v>
      </c>
      <c r="C613" t="s">
        <v>592</v>
      </c>
      <c r="D613" t="s">
        <v>20</v>
      </c>
      <c r="E613" t="s">
        <v>53</v>
      </c>
      <c r="F613" t="s">
        <v>54</v>
      </c>
      <c r="G613" t="s">
        <v>54</v>
      </c>
      <c r="H613" t="s">
        <v>54</v>
      </c>
      <c r="I613" t="s">
        <v>80</v>
      </c>
      <c r="J613" t="s">
        <v>239</v>
      </c>
      <c r="K613" t="s">
        <v>124</v>
      </c>
      <c r="O613">
        <v>3</v>
      </c>
      <c r="P613">
        <f>COUNTIFS(keyword_comparison[record_identifier],keyword_comparison[[#This Row],[record_identifier]],keyword_comparison[Review],"&lt;&gt;")</f>
        <v>14</v>
      </c>
      <c r="Q613" cm="1">
        <f t="array" ref="Q613">SUMPRODUCT((keyword_comparison[record_identifier]=keyword_comparison[[#This Row],[record_identifier]])*(LEN(keyword_comparison[keyword_matcher_output])&gt;0))</f>
        <v>0</v>
      </c>
    </row>
    <row r="614" spans="1:17" x14ac:dyDescent="0.25">
      <c r="A614" t="s">
        <v>590</v>
      </c>
      <c r="B614" t="s">
        <v>591</v>
      </c>
      <c r="C614" t="s">
        <v>592</v>
      </c>
      <c r="D614" t="s">
        <v>20</v>
      </c>
      <c r="E614" t="s">
        <v>53</v>
      </c>
      <c r="F614" t="s">
        <v>54</v>
      </c>
      <c r="G614" t="s">
        <v>54</v>
      </c>
      <c r="H614" t="s">
        <v>54</v>
      </c>
      <c r="I614" t="s">
        <v>80</v>
      </c>
      <c r="J614" t="s">
        <v>599</v>
      </c>
      <c r="K614" t="s">
        <v>600</v>
      </c>
      <c r="O614">
        <v>4</v>
      </c>
      <c r="P614">
        <f>COUNTIFS(keyword_comparison[record_identifier],keyword_comparison[[#This Row],[record_identifier]],keyword_comparison[Review],"&lt;&gt;")</f>
        <v>14</v>
      </c>
      <c r="Q614" cm="1">
        <f t="array" ref="Q614">SUMPRODUCT((keyword_comparison[record_identifier]=keyword_comparison[[#This Row],[record_identifier]])*(LEN(keyword_comparison[keyword_matcher_output])&gt;0))</f>
        <v>0</v>
      </c>
    </row>
    <row r="615" spans="1:17" x14ac:dyDescent="0.25">
      <c r="A615" t="s">
        <v>590</v>
      </c>
      <c r="B615" t="s">
        <v>591</v>
      </c>
      <c r="C615" t="s">
        <v>592</v>
      </c>
      <c r="D615" t="s">
        <v>20</v>
      </c>
      <c r="E615" t="s">
        <v>53</v>
      </c>
      <c r="F615" t="s">
        <v>54</v>
      </c>
      <c r="G615" t="s">
        <v>54</v>
      </c>
      <c r="H615" t="s">
        <v>54</v>
      </c>
      <c r="I615" t="s">
        <v>80</v>
      </c>
      <c r="J615" t="s">
        <v>601</v>
      </c>
      <c r="K615" t="s">
        <v>602</v>
      </c>
      <c r="O615">
        <v>5</v>
      </c>
      <c r="P615">
        <f>COUNTIFS(keyword_comparison[record_identifier],keyword_comparison[[#This Row],[record_identifier]],keyword_comparison[Review],"&lt;&gt;")</f>
        <v>14</v>
      </c>
      <c r="Q615" cm="1">
        <f t="array" ref="Q615">SUMPRODUCT((keyword_comparison[record_identifier]=keyword_comparison[[#This Row],[record_identifier]])*(LEN(keyword_comparison[keyword_matcher_output])&gt;0))</f>
        <v>0</v>
      </c>
    </row>
    <row r="616" spans="1:17" x14ac:dyDescent="0.25">
      <c r="A616" t="s">
        <v>590</v>
      </c>
      <c r="B616" t="s">
        <v>591</v>
      </c>
      <c r="C616" t="s">
        <v>592</v>
      </c>
      <c r="D616" t="s">
        <v>20</v>
      </c>
      <c r="E616" t="s">
        <v>53</v>
      </c>
      <c r="F616" t="s">
        <v>54</v>
      </c>
      <c r="G616" t="s">
        <v>54</v>
      </c>
      <c r="H616" t="s">
        <v>54</v>
      </c>
      <c r="I616" t="s">
        <v>80</v>
      </c>
      <c r="J616" t="s">
        <v>603</v>
      </c>
      <c r="K616" t="s">
        <v>108</v>
      </c>
      <c r="O616">
        <v>6</v>
      </c>
      <c r="P616">
        <f>COUNTIFS(keyword_comparison[record_identifier],keyword_comparison[[#This Row],[record_identifier]],keyword_comparison[Review],"&lt;&gt;")</f>
        <v>14</v>
      </c>
      <c r="Q616" cm="1">
        <f t="array" ref="Q616">SUMPRODUCT((keyword_comparison[record_identifier]=keyword_comparison[[#This Row],[record_identifier]])*(LEN(keyword_comparison[keyword_matcher_output])&gt;0))</f>
        <v>0</v>
      </c>
    </row>
    <row r="617" spans="1:17" x14ac:dyDescent="0.25">
      <c r="A617" t="s">
        <v>590</v>
      </c>
      <c r="B617" t="s">
        <v>591</v>
      </c>
      <c r="C617" t="s">
        <v>592</v>
      </c>
      <c r="D617" t="s">
        <v>20</v>
      </c>
      <c r="E617" t="s">
        <v>53</v>
      </c>
      <c r="F617" t="s">
        <v>54</v>
      </c>
      <c r="G617" t="s">
        <v>54</v>
      </c>
      <c r="H617" t="s">
        <v>54</v>
      </c>
      <c r="I617" t="s">
        <v>80</v>
      </c>
      <c r="J617" t="s">
        <v>219</v>
      </c>
      <c r="K617" t="s">
        <v>221</v>
      </c>
      <c r="O617">
        <v>7</v>
      </c>
      <c r="P617">
        <f>COUNTIFS(keyword_comparison[record_identifier],keyword_comparison[[#This Row],[record_identifier]],keyword_comparison[Review],"&lt;&gt;")</f>
        <v>14</v>
      </c>
      <c r="Q617" cm="1">
        <f t="array" ref="Q617">SUMPRODUCT((keyword_comparison[record_identifier]=keyword_comparison[[#This Row],[record_identifier]])*(LEN(keyword_comparison[keyword_matcher_output])&gt;0))</f>
        <v>0</v>
      </c>
    </row>
    <row r="618" spans="1:17" x14ac:dyDescent="0.25">
      <c r="A618" t="s">
        <v>590</v>
      </c>
      <c r="B618" t="s">
        <v>591</v>
      </c>
      <c r="C618" t="s">
        <v>592</v>
      </c>
      <c r="D618" t="s">
        <v>20</v>
      </c>
      <c r="E618" t="s">
        <v>53</v>
      </c>
      <c r="F618" t="s">
        <v>54</v>
      </c>
      <c r="G618" t="s">
        <v>54</v>
      </c>
      <c r="H618" t="s">
        <v>54</v>
      </c>
      <c r="I618" t="s">
        <v>80</v>
      </c>
      <c r="J618" t="s">
        <v>219</v>
      </c>
      <c r="K618" t="s">
        <v>220</v>
      </c>
      <c r="O618">
        <v>7</v>
      </c>
      <c r="P618">
        <f>COUNTIFS(keyword_comparison[record_identifier],keyword_comparison[[#This Row],[record_identifier]],keyword_comparison[Review],"&lt;&gt;")</f>
        <v>14</v>
      </c>
      <c r="Q618" cm="1">
        <f t="array" ref="Q618">SUMPRODUCT((keyword_comparison[record_identifier]=keyword_comparison[[#This Row],[record_identifier]])*(LEN(keyword_comparison[keyword_matcher_output])&gt;0))</f>
        <v>0</v>
      </c>
    </row>
    <row r="619" spans="1:17" x14ac:dyDescent="0.25">
      <c r="A619" t="s">
        <v>590</v>
      </c>
      <c r="B619" t="s">
        <v>591</v>
      </c>
      <c r="C619" t="s">
        <v>592</v>
      </c>
      <c r="D619" t="s">
        <v>20</v>
      </c>
      <c r="E619" t="s">
        <v>53</v>
      </c>
      <c r="F619" t="s">
        <v>54</v>
      </c>
      <c r="G619" t="s">
        <v>54</v>
      </c>
      <c r="H619" t="s">
        <v>54</v>
      </c>
      <c r="I619" t="s">
        <v>88</v>
      </c>
      <c r="J619" t="s">
        <v>34</v>
      </c>
      <c r="K619" t="s">
        <v>35</v>
      </c>
      <c r="O619">
        <v>9</v>
      </c>
      <c r="P619">
        <f>COUNTIFS(keyword_comparison[record_identifier],keyword_comparison[[#This Row],[record_identifier]],keyword_comparison[Review],"&lt;&gt;")</f>
        <v>14</v>
      </c>
      <c r="Q619" cm="1">
        <f t="array" ref="Q619">SUMPRODUCT((keyword_comparison[record_identifier]=keyword_comparison[[#This Row],[record_identifier]])*(LEN(keyword_comparison[keyword_matcher_output])&gt;0))</f>
        <v>0</v>
      </c>
    </row>
    <row r="620" spans="1:17" x14ac:dyDescent="0.25">
      <c r="A620" t="s">
        <v>590</v>
      </c>
      <c r="B620" t="s">
        <v>591</v>
      </c>
      <c r="C620" t="s">
        <v>592</v>
      </c>
      <c r="D620" t="s">
        <v>20</v>
      </c>
      <c r="E620" t="s">
        <v>53</v>
      </c>
      <c r="F620" t="s">
        <v>54</v>
      </c>
      <c r="G620" t="s">
        <v>54</v>
      </c>
      <c r="H620" t="s">
        <v>54</v>
      </c>
      <c r="I620" t="s">
        <v>80</v>
      </c>
      <c r="J620" t="s">
        <v>604</v>
      </c>
      <c r="K620" t="s">
        <v>605</v>
      </c>
      <c r="O620">
        <v>10</v>
      </c>
      <c r="P620">
        <f>COUNTIFS(keyword_comparison[record_identifier],keyword_comparison[[#This Row],[record_identifier]],keyword_comparison[Review],"&lt;&gt;")</f>
        <v>14</v>
      </c>
      <c r="Q620" cm="1">
        <f t="array" ref="Q620">SUMPRODUCT((keyword_comparison[record_identifier]=keyword_comparison[[#This Row],[record_identifier]])*(LEN(keyword_comparison[keyword_matcher_output])&gt;0))</f>
        <v>0</v>
      </c>
    </row>
    <row r="621" spans="1:17" x14ac:dyDescent="0.25">
      <c r="A621" t="s">
        <v>606</v>
      </c>
      <c r="B621" t="s">
        <v>607</v>
      </c>
      <c r="C621" t="s">
        <v>608</v>
      </c>
      <c r="D621" t="s">
        <v>20</v>
      </c>
      <c r="E621" t="s">
        <v>21</v>
      </c>
      <c r="F621" t="s">
        <v>30</v>
      </c>
      <c r="G621" t="s">
        <v>31</v>
      </c>
      <c r="H621" t="s">
        <v>54</v>
      </c>
      <c r="P621">
        <f>COUNTIFS(keyword_comparison[record_identifier],keyword_comparison[[#This Row],[record_identifier]],keyword_comparison[Review],"&lt;&gt;")</f>
        <v>14</v>
      </c>
      <c r="Q621" cm="1">
        <f t="array" ref="Q621">SUMPRODUCT((keyword_comparison[record_identifier]=keyword_comparison[[#This Row],[record_identifier]])*(LEN(keyword_comparison[keyword_matcher_output])&gt;0))</f>
        <v>0</v>
      </c>
    </row>
    <row r="622" spans="1:17" x14ac:dyDescent="0.25">
      <c r="A622" t="s">
        <v>606</v>
      </c>
      <c r="B622" t="s">
        <v>607</v>
      </c>
      <c r="C622" t="s">
        <v>608</v>
      </c>
      <c r="D622" t="s">
        <v>20</v>
      </c>
      <c r="E622" t="s">
        <v>21</v>
      </c>
      <c r="F622" t="s">
        <v>32</v>
      </c>
      <c r="G622" t="s">
        <v>31</v>
      </c>
      <c r="H622" t="s">
        <v>54</v>
      </c>
      <c r="P622">
        <f>COUNTIFS(keyword_comparison[record_identifier],keyword_comparison[[#This Row],[record_identifier]],keyword_comparison[Review],"&lt;&gt;")</f>
        <v>14</v>
      </c>
      <c r="Q622" cm="1">
        <f t="array" ref="Q622">SUMPRODUCT((keyword_comparison[record_identifier]=keyword_comparison[[#This Row],[record_identifier]])*(LEN(keyword_comparison[keyword_matcher_output])&gt;0))</f>
        <v>0</v>
      </c>
    </row>
    <row r="623" spans="1:17" x14ac:dyDescent="0.25">
      <c r="A623" t="s">
        <v>606</v>
      </c>
      <c r="B623" t="s">
        <v>607</v>
      </c>
      <c r="C623" t="s">
        <v>608</v>
      </c>
      <c r="D623" t="s">
        <v>20</v>
      </c>
      <c r="E623" t="s">
        <v>33</v>
      </c>
      <c r="H623" t="s">
        <v>54</v>
      </c>
      <c r="I623" t="s">
        <v>80</v>
      </c>
      <c r="J623" t="s">
        <v>547</v>
      </c>
      <c r="K623" t="s">
        <v>221</v>
      </c>
      <c r="M623">
        <v>0.1948</v>
      </c>
      <c r="N623">
        <v>1</v>
      </c>
      <c r="P623">
        <f>COUNTIFS(keyword_comparison[record_identifier],keyword_comparison[[#This Row],[record_identifier]],keyword_comparison[Review],"&lt;&gt;")</f>
        <v>14</v>
      </c>
      <c r="Q623" cm="1">
        <f t="array" ref="Q623">SUMPRODUCT((keyword_comparison[record_identifier]=keyword_comparison[[#This Row],[record_identifier]])*(LEN(keyword_comparison[keyword_matcher_output])&gt;0))</f>
        <v>0</v>
      </c>
    </row>
    <row r="624" spans="1:17" x14ac:dyDescent="0.25">
      <c r="A624" t="s">
        <v>606</v>
      </c>
      <c r="B624" t="s">
        <v>607</v>
      </c>
      <c r="C624" t="s">
        <v>608</v>
      </c>
      <c r="D624" t="s">
        <v>20</v>
      </c>
      <c r="E624" t="s">
        <v>33</v>
      </c>
      <c r="H624" t="s">
        <v>54</v>
      </c>
      <c r="I624" t="s">
        <v>80</v>
      </c>
      <c r="J624" t="s">
        <v>547</v>
      </c>
      <c r="K624" t="s">
        <v>220</v>
      </c>
      <c r="M624">
        <v>0.1948</v>
      </c>
      <c r="N624">
        <v>2</v>
      </c>
      <c r="P624">
        <f>COUNTIFS(keyword_comparison[record_identifier],keyword_comparison[[#This Row],[record_identifier]],keyword_comparison[Review],"&lt;&gt;")</f>
        <v>14</v>
      </c>
      <c r="Q624" cm="1">
        <f t="array" ref="Q624">SUMPRODUCT((keyword_comparison[record_identifier]=keyword_comparison[[#This Row],[record_identifier]])*(LEN(keyword_comparison[keyword_matcher_output])&gt;0))</f>
        <v>0</v>
      </c>
    </row>
    <row r="625" spans="1:17" x14ac:dyDescent="0.25">
      <c r="A625" t="s">
        <v>606</v>
      </c>
      <c r="B625" t="s">
        <v>607</v>
      </c>
      <c r="C625" t="s">
        <v>608</v>
      </c>
      <c r="D625" t="s">
        <v>20</v>
      </c>
      <c r="E625" t="s">
        <v>33</v>
      </c>
      <c r="H625" t="s">
        <v>54</v>
      </c>
      <c r="I625" t="s">
        <v>80</v>
      </c>
      <c r="J625" t="s">
        <v>250</v>
      </c>
      <c r="K625" t="s">
        <v>251</v>
      </c>
      <c r="M625">
        <v>7.0099999999999996E-2</v>
      </c>
      <c r="N625">
        <v>3</v>
      </c>
      <c r="P625">
        <f>COUNTIFS(keyword_comparison[record_identifier],keyword_comparison[[#This Row],[record_identifier]],keyword_comparison[Review],"&lt;&gt;")</f>
        <v>14</v>
      </c>
      <c r="Q625" cm="1">
        <f t="array" ref="Q625">SUMPRODUCT((keyword_comparison[record_identifier]=keyword_comparison[[#This Row],[record_identifier]])*(LEN(keyword_comparison[keyword_matcher_output])&gt;0))</f>
        <v>0</v>
      </c>
    </row>
    <row r="626" spans="1:17" x14ac:dyDescent="0.25">
      <c r="A626" t="s">
        <v>606</v>
      </c>
      <c r="B626" t="s">
        <v>607</v>
      </c>
      <c r="C626" t="s">
        <v>608</v>
      </c>
      <c r="D626" t="s">
        <v>20</v>
      </c>
      <c r="E626" t="s">
        <v>48</v>
      </c>
      <c r="H626" t="s">
        <v>54</v>
      </c>
      <c r="I626" t="s">
        <v>80</v>
      </c>
      <c r="J626" t="s">
        <v>547</v>
      </c>
      <c r="K626" t="s">
        <v>221</v>
      </c>
      <c r="P626">
        <f>COUNTIFS(keyword_comparison[record_identifier],keyword_comparison[[#This Row],[record_identifier]],keyword_comparison[Review],"&lt;&gt;")</f>
        <v>14</v>
      </c>
      <c r="Q626" cm="1">
        <f t="array" ref="Q626">SUMPRODUCT((keyword_comparison[record_identifier]=keyword_comparison[[#This Row],[record_identifier]])*(LEN(keyword_comparison[keyword_matcher_output])&gt;0))</f>
        <v>0</v>
      </c>
    </row>
    <row r="627" spans="1:17" x14ac:dyDescent="0.25">
      <c r="A627" t="s">
        <v>606</v>
      </c>
      <c r="B627" t="s">
        <v>607</v>
      </c>
      <c r="C627" t="s">
        <v>608</v>
      </c>
      <c r="D627" t="s">
        <v>20</v>
      </c>
      <c r="E627" t="s">
        <v>48</v>
      </c>
      <c r="H627" t="s">
        <v>54</v>
      </c>
      <c r="I627" t="s">
        <v>80</v>
      </c>
      <c r="J627" t="s">
        <v>547</v>
      </c>
      <c r="K627" t="s">
        <v>220</v>
      </c>
      <c r="P627">
        <f>COUNTIFS(keyword_comparison[record_identifier],keyword_comparison[[#This Row],[record_identifier]],keyword_comparison[Review],"&lt;&gt;")</f>
        <v>14</v>
      </c>
      <c r="Q627" cm="1">
        <f t="array" ref="Q627">SUMPRODUCT((keyword_comparison[record_identifier]=keyword_comparison[[#This Row],[record_identifier]])*(LEN(keyword_comparison[keyword_matcher_output])&gt;0))</f>
        <v>0</v>
      </c>
    </row>
    <row r="628" spans="1:17" x14ac:dyDescent="0.25">
      <c r="A628" t="s">
        <v>606</v>
      </c>
      <c r="B628" t="s">
        <v>607</v>
      </c>
      <c r="C628" t="s">
        <v>608</v>
      </c>
      <c r="D628" t="s">
        <v>20</v>
      </c>
      <c r="E628" t="s">
        <v>48</v>
      </c>
      <c r="H628" t="s">
        <v>54</v>
      </c>
      <c r="I628" t="s">
        <v>80</v>
      </c>
      <c r="J628" t="s">
        <v>84</v>
      </c>
      <c r="K628" t="s">
        <v>85</v>
      </c>
      <c r="P628">
        <f>COUNTIFS(keyword_comparison[record_identifier],keyword_comparison[[#This Row],[record_identifier]],keyword_comparison[Review],"&lt;&gt;")</f>
        <v>14</v>
      </c>
      <c r="Q628" cm="1">
        <f t="array" ref="Q628">SUMPRODUCT((keyword_comparison[record_identifier]=keyword_comparison[[#This Row],[record_identifier]])*(LEN(keyword_comparison[keyword_matcher_output])&gt;0))</f>
        <v>0</v>
      </c>
    </row>
    <row r="629" spans="1:17" x14ac:dyDescent="0.25">
      <c r="A629" t="s">
        <v>606</v>
      </c>
      <c r="B629" t="s">
        <v>607</v>
      </c>
      <c r="C629" t="s">
        <v>608</v>
      </c>
      <c r="D629" t="s">
        <v>20</v>
      </c>
      <c r="E629" t="s">
        <v>53</v>
      </c>
      <c r="F629" t="s">
        <v>54</v>
      </c>
      <c r="G629" t="s">
        <v>54</v>
      </c>
      <c r="H629" t="s">
        <v>54</v>
      </c>
      <c r="I629" t="s">
        <v>80</v>
      </c>
      <c r="J629" t="s">
        <v>547</v>
      </c>
      <c r="K629" t="s">
        <v>221</v>
      </c>
      <c r="O629">
        <v>1</v>
      </c>
      <c r="P629">
        <f>COUNTIFS(keyword_comparison[record_identifier],keyword_comparison[[#This Row],[record_identifier]],keyword_comparison[Review],"&lt;&gt;")</f>
        <v>14</v>
      </c>
      <c r="Q629" cm="1">
        <f t="array" ref="Q629">SUMPRODUCT((keyword_comparison[record_identifier]=keyword_comparison[[#This Row],[record_identifier]])*(LEN(keyword_comparison[keyword_matcher_output])&gt;0))</f>
        <v>0</v>
      </c>
    </row>
    <row r="630" spans="1:17" x14ac:dyDescent="0.25">
      <c r="A630" t="s">
        <v>606</v>
      </c>
      <c r="B630" t="s">
        <v>607</v>
      </c>
      <c r="C630" t="s">
        <v>608</v>
      </c>
      <c r="D630" t="s">
        <v>20</v>
      </c>
      <c r="E630" t="s">
        <v>53</v>
      </c>
      <c r="F630" t="s">
        <v>54</v>
      </c>
      <c r="G630" t="s">
        <v>54</v>
      </c>
      <c r="H630" t="s">
        <v>54</v>
      </c>
      <c r="I630" t="s">
        <v>80</v>
      </c>
      <c r="J630" t="s">
        <v>547</v>
      </c>
      <c r="K630" t="s">
        <v>220</v>
      </c>
      <c r="O630">
        <v>1</v>
      </c>
      <c r="P630">
        <f>COUNTIFS(keyword_comparison[record_identifier],keyword_comparison[[#This Row],[record_identifier]],keyword_comparison[Review],"&lt;&gt;")</f>
        <v>14</v>
      </c>
      <c r="Q630" cm="1">
        <f t="array" ref="Q630">SUMPRODUCT((keyword_comparison[record_identifier]=keyword_comparison[[#This Row],[record_identifier]])*(LEN(keyword_comparison[keyword_matcher_output])&gt;0))</f>
        <v>0</v>
      </c>
    </row>
    <row r="631" spans="1:17" x14ac:dyDescent="0.25">
      <c r="A631" t="s">
        <v>606</v>
      </c>
      <c r="B631" t="s">
        <v>607</v>
      </c>
      <c r="C631" t="s">
        <v>608</v>
      </c>
      <c r="D631" t="s">
        <v>20</v>
      </c>
      <c r="E631" t="s">
        <v>53</v>
      </c>
      <c r="F631" t="s">
        <v>54</v>
      </c>
      <c r="G631" t="s">
        <v>54</v>
      </c>
      <c r="H631" t="s">
        <v>54</v>
      </c>
      <c r="I631" t="s">
        <v>88</v>
      </c>
      <c r="J631" t="s">
        <v>89</v>
      </c>
      <c r="K631" t="s">
        <v>90</v>
      </c>
      <c r="O631">
        <v>2</v>
      </c>
      <c r="P631">
        <f>COUNTIFS(keyword_comparison[record_identifier],keyword_comparison[[#This Row],[record_identifier]],keyword_comparison[Review],"&lt;&gt;")</f>
        <v>14</v>
      </c>
      <c r="Q631" cm="1">
        <f t="array" ref="Q631">SUMPRODUCT((keyword_comparison[record_identifier]=keyword_comparison[[#This Row],[record_identifier]])*(LEN(keyword_comparison[keyword_matcher_output])&gt;0))</f>
        <v>0</v>
      </c>
    </row>
    <row r="632" spans="1:17" x14ac:dyDescent="0.25">
      <c r="A632" t="s">
        <v>606</v>
      </c>
      <c r="B632" t="s">
        <v>607</v>
      </c>
      <c r="C632" t="s">
        <v>608</v>
      </c>
      <c r="D632" t="s">
        <v>20</v>
      </c>
      <c r="E632" t="s">
        <v>53</v>
      </c>
      <c r="F632" t="s">
        <v>54</v>
      </c>
      <c r="G632" t="s">
        <v>54</v>
      </c>
      <c r="H632" t="s">
        <v>54</v>
      </c>
      <c r="I632" t="s">
        <v>88</v>
      </c>
      <c r="J632" t="s">
        <v>233</v>
      </c>
      <c r="K632" t="s">
        <v>234</v>
      </c>
      <c r="O632">
        <v>4</v>
      </c>
      <c r="P632">
        <f>COUNTIFS(keyword_comparison[record_identifier],keyword_comparison[[#This Row],[record_identifier]],keyword_comparison[Review],"&lt;&gt;")</f>
        <v>14</v>
      </c>
      <c r="Q632" cm="1">
        <f t="array" ref="Q632">SUMPRODUCT((keyword_comparison[record_identifier]=keyword_comparison[[#This Row],[record_identifier]])*(LEN(keyword_comparison[keyword_matcher_output])&gt;0))</f>
        <v>0</v>
      </c>
    </row>
    <row r="633" spans="1:17" x14ac:dyDescent="0.25">
      <c r="A633" t="s">
        <v>606</v>
      </c>
      <c r="B633" t="s">
        <v>607</v>
      </c>
      <c r="C633" t="s">
        <v>608</v>
      </c>
      <c r="D633" t="s">
        <v>20</v>
      </c>
      <c r="E633" t="s">
        <v>53</v>
      </c>
      <c r="F633" t="s">
        <v>54</v>
      </c>
      <c r="G633" t="s">
        <v>54</v>
      </c>
      <c r="H633" t="s">
        <v>54</v>
      </c>
      <c r="I633" t="s">
        <v>88</v>
      </c>
      <c r="J633" t="s">
        <v>407</v>
      </c>
      <c r="K633" t="s">
        <v>408</v>
      </c>
      <c r="O633">
        <v>5</v>
      </c>
      <c r="P633">
        <f>COUNTIFS(keyword_comparison[record_identifier],keyword_comparison[[#This Row],[record_identifier]],keyword_comparison[Review],"&lt;&gt;")</f>
        <v>14</v>
      </c>
      <c r="Q633" cm="1">
        <f t="array" ref="Q633">SUMPRODUCT((keyword_comparison[record_identifier]=keyword_comparison[[#This Row],[record_identifier]])*(LEN(keyword_comparison[keyword_matcher_output])&gt;0))</f>
        <v>0</v>
      </c>
    </row>
    <row r="634" spans="1:17" x14ac:dyDescent="0.25">
      <c r="A634" t="s">
        <v>606</v>
      </c>
      <c r="B634" t="s">
        <v>607</v>
      </c>
      <c r="C634" t="s">
        <v>608</v>
      </c>
      <c r="D634" t="s">
        <v>20</v>
      </c>
      <c r="E634" t="s">
        <v>53</v>
      </c>
      <c r="F634" t="s">
        <v>54</v>
      </c>
      <c r="G634" t="s">
        <v>54</v>
      </c>
      <c r="H634" t="s">
        <v>54</v>
      </c>
      <c r="I634" t="s">
        <v>88</v>
      </c>
      <c r="J634" t="s">
        <v>609</v>
      </c>
      <c r="K634" t="s">
        <v>610</v>
      </c>
      <c r="O634">
        <v>6</v>
      </c>
      <c r="P634">
        <f>COUNTIFS(keyword_comparison[record_identifier],keyword_comparison[[#This Row],[record_identifier]],keyword_comparison[Review],"&lt;&gt;")</f>
        <v>14</v>
      </c>
      <c r="Q634" cm="1">
        <f t="array" ref="Q634">SUMPRODUCT((keyword_comparison[record_identifier]=keyword_comparison[[#This Row],[record_identifier]])*(LEN(keyword_comparison[keyword_matcher_output])&gt;0))</f>
        <v>0</v>
      </c>
    </row>
    <row r="635" spans="1:17" x14ac:dyDescent="0.25">
      <c r="A635" t="s">
        <v>606</v>
      </c>
      <c r="B635" t="s">
        <v>607</v>
      </c>
      <c r="C635" t="s">
        <v>608</v>
      </c>
      <c r="D635" t="s">
        <v>20</v>
      </c>
      <c r="E635" t="s">
        <v>53</v>
      </c>
      <c r="F635" t="s">
        <v>54</v>
      </c>
      <c r="G635" t="s">
        <v>54</v>
      </c>
      <c r="H635" t="s">
        <v>54</v>
      </c>
      <c r="I635" t="s">
        <v>80</v>
      </c>
      <c r="J635" t="s">
        <v>248</v>
      </c>
      <c r="K635" t="s">
        <v>249</v>
      </c>
      <c r="O635">
        <v>7</v>
      </c>
      <c r="P635">
        <f>COUNTIFS(keyword_comparison[record_identifier],keyword_comparison[[#This Row],[record_identifier]],keyword_comparison[Review],"&lt;&gt;")</f>
        <v>14</v>
      </c>
      <c r="Q635" cm="1">
        <f t="array" ref="Q635">SUMPRODUCT((keyword_comparison[record_identifier]=keyword_comparison[[#This Row],[record_identifier]])*(LEN(keyword_comparison[keyword_matcher_output])&gt;0))</f>
        <v>0</v>
      </c>
    </row>
    <row r="636" spans="1:17" x14ac:dyDescent="0.25">
      <c r="A636" t="s">
        <v>606</v>
      </c>
      <c r="B636" t="s">
        <v>607</v>
      </c>
      <c r="C636" t="s">
        <v>608</v>
      </c>
      <c r="D636" t="s">
        <v>20</v>
      </c>
      <c r="E636" t="s">
        <v>53</v>
      </c>
      <c r="F636" t="s">
        <v>54</v>
      </c>
      <c r="G636" t="s">
        <v>54</v>
      </c>
      <c r="H636" t="s">
        <v>54</v>
      </c>
      <c r="I636" t="s">
        <v>80</v>
      </c>
      <c r="J636" t="s">
        <v>193</v>
      </c>
      <c r="K636" t="s">
        <v>194</v>
      </c>
      <c r="O636">
        <v>8</v>
      </c>
      <c r="P636">
        <f>COUNTIFS(keyword_comparison[record_identifier],keyword_comparison[[#This Row],[record_identifier]],keyword_comparison[Review],"&lt;&gt;")</f>
        <v>14</v>
      </c>
      <c r="Q636" cm="1">
        <f t="array" ref="Q636">SUMPRODUCT((keyword_comparison[record_identifier]=keyword_comparison[[#This Row],[record_identifier]])*(LEN(keyword_comparison[keyword_matcher_output])&gt;0))</f>
        <v>0</v>
      </c>
    </row>
    <row r="637" spans="1:17" x14ac:dyDescent="0.25">
      <c r="A637" t="s">
        <v>611</v>
      </c>
      <c r="B637" t="s">
        <v>612</v>
      </c>
      <c r="C637" t="s">
        <v>613</v>
      </c>
      <c r="D637" t="s">
        <v>20</v>
      </c>
      <c r="E637" t="s">
        <v>21</v>
      </c>
      <c r="F637" t="s">
        <v>30</v>
      </c>
      <c r="G637" t="s">
        <v>31</v>
      </c>
      <c r="H637" t="s">
        <v>54</v>
      </c>
      <c r="P637">
        <f>COUNTIFS(keyword_comparison[record_identifier],keyword_comparison[[#This Row],[record_identifier]],keyword_comparison[Review],"&lt;&gt;")</f>
        <v>16</v>
      </c>
      <c r="Q637" cm="1">
        <f t="array" ref="Q637">SUMPRODUCT((keyword_comparison[record_identifier]=keyword_comparison[[#This Row],[record_identifier]])*(LEN(keyword_comparison[keyword_matcher_output])&gt;0))</f>
        <v>1</v>
      </c>
    </row>
    <row r="638" spans="1:17" x14ac:dyDescent="0.25">
      <c r="A638" t="s">
        <v>611</v>
      </c>
      <c r="B638" t="s">
        <v>612</v>
      </c>
      <c r="C638" t="s">
        <v>613</v>
      </c>
      <c r="D638" t="s">
        <v>20</v>
      </c>
      <c r="E638" t="s">
        <v>21</v>
      </c>
      <c r="F638" t="s">
        <v>614</v>
      </c>
      <c r="G638" t="s">
        <v>23</v>
      </c>
      <c r="H638" t="s">
        <v>54</v>
      </c>
      <c r="P638">
        <f>COUNTIFS(keyword_comparison[record_identifier],keyword_comparison[[#This Row],[record_identifier]],keyword_comparison[Review],"&lt;&gt;")</f>
        <v>16</v>
      </c>
      <c r="Q638" cm="1">
        <f t="array" ref="Q638">SUMPRODUCT((keyword_comparison[record_identifier]=keyword_comparison[[#This Row],[record_identifier]])*(LEN(keyword_comparison[keyword_matcher_output])&gt;0))</f>
        <v>1</v>
      </c>
    </row>
    <row r="639" spans="1:17" x14ac:dyDescent="0.25">
      <c r="A639" t="s">
        <v>611</v>
      </c>
      <c r="B639" t="s">
        <v>612</v>
      </c>
      <c r="C639" t="s">
        <v>613</v>
      </c>
      <c r="D639" t="s">
        <v>20</v>
      </c>
      <c r="E639" t="s">
        <v>21</v>
      </c>
      <c r="F639" t="s">
        <v>32</v>
      </c>
      <c r="G639" t="s">
        <v>31</v>
      </c>
      <c r="H639" t="s">
        <v>54</v>
      </c>
      <c r="P639">
        <f>COUNTIFS(keyword_comparison[record_identifier],keyword_comparison[[#This Row],[record_identifier]],keyword_comparison[Review],"&lt;&gt;")</f>
        <v>16</v>
      </c>
      <c r="Q639" cm="1">
        <f t="array" ref="Q639">SUMPRODUCT((keyword_comparison[record_identifier]=keyword_comparison[[#This Row],[record_identifier]])*(LEN(keyword_comparison[keyword_matcher_output])&gt;0))</f>
        <v>1</v>
      </c>
    </row>
    <row r="640" spans="1:17" x14ac:dyDescent="0.25">
      <c r="A640" t="s">
        <v>611</v>
      </c>
      <c r="B640" t="s">
        <v>612</v>
      </c>
      <c r="C640" t="s">
        <v>613</v>
      </c>
      <c r="D640" t="s">
        <v>20</v>
      </c>
      <c r="E640" t="s">
        <v>21</v>
      </c>
      <c r="F640" t="s">
        <v>615</v>
      </c>
      <c r="G640" t="s">
        <v>23</v>
      </c>
      <c r="H640" t="s">
        <v>54</v>
      </c>
      <c r="P640">
        <f>COUNTIFS(keyword_comparison[record_identifier],keyword_comparison[[#This Row],[record_identifier]],keyword_comparison[Review],"&lt;&gt;")</f>
        <v>16</v>
      </c>
      <c r="Q640" cm="1">
        <f t="array" ref="Q640">SUMPRODUCT((keyword_comparison[record_identifier]=keyword_comparison[[#This Row],[record_identifier]])*(LEN(keyword_comparison[keyword_matcher_output])&gt;0))</f>
        <v>1</v>
      </c>
    </row>
    <row r="641" spans="1:17" x14ac:dyDescent="0.25">
      <c r="A641" t="s">
        <v>611</v>
      </c>
      <c r="B641" t="s">
        <v>612</v>
      </c>
      <c r="C641" t="s">
        <v>613</v>
      </c>
      <c r="D641" t="s">
        <v>20</v>
      </c>
      <c r="E641" t="s">
        <v>21</v>
      </c>
      <c r="F641" t="s">
        <v>616</v>
      </c>
      <c r="G641" t="s">
        <v>23</v>
      </c>
      <c r="H641" t="s">
        <v>85</v>
      </c>
      <c r="I641" t="s">
        <v>80</v>
      </c>
      <c r="P641">
        <f>COUNTIFS(keyword_comparison[record_identifier],keyword_comparison[[#This Row],[record_identifier]],keyword_comparison[Review],"&lt;&gt;")</f>
        <v>16</v>
      </c>
      <c r="Q641" cm="1">
        <f t="array" ref="Q641">SUMPRODUCT((keyword_comparison[record_identifier]=keyword_comparison[[#This Row],[record_identifier]])*(LEN(keyword_comparison[keyword_matcher_output])&gt;0))</f>
        <v>1</v>
      </c>
    </row>
    <row r="642" spans="1:17" x14ac:dyDescent="0.25">
      <c r="A642" t="s">
        <v>611</v>
      </c>
      <c r="B642" t="s">
        <v>612</v>
      </c>
      <c r="C642" t="s">
        <v>613</v>
      </c>
      <c r="D642" t="s">
        <v>20</v>
      </c>
      <c r="E642" t="s">
        <v>21</v>
      </c>
      <c r="F642" t="s">
        <v>423</v>
      </c>
      <c r="G642" t="s">
        <v>23</v>
      </c>
      <c r="H642" t="s">
        <v>54</v>
      </c>
      <c r="I642" t="s">
        <v>77</v>
      </c>
      <c r="P642">
        <f>COUNTIFS(keyword_comparison[record_identifier],keyword_comparison[[#This Row],[record_identifier]],keyword_comparison[Review],"&lt;&gt;")</f>
        <v>16</v>
      </c>
      <c r="Q642" cm="1">
        <f t="array" ref="Q642">SUMPRODUCT((keyword_comparison[record_identifier]=keyword_comparison[[#This Row],[record_identifier]])*(LEN(keyword_comparison[keyword_matcher_output])&gt;0))</f>
        <v>1</v>
      </c>
    </row>
    <row r="643" spans="1:17" x14ac:dyDescent="0.25">
      <c r="A643" t="s">
        <v>611</v>
      </c>
      <c r="B643" t="s">
        <v>612</v>
      </c>
      <c r="C643" t="s">
        <v>613</v>
      </c>
      <c r="D643" t="s">
        <v>20</v>
      </c>
      <c r="E643" t="s">
        <v>21</v>
      </c>
      <c r="F643" t="s">
        <v>617</v>
      </c>
      <c r="G643" t="s">
        <v>23</v>
      </c>
      <c r="H643" t="s">
        <v>54</v>
      </c>
      <c r="I643" t="s">
        <v>77</v>
      </c>
      <c r="P643">
        <f>COUNTIFS(keyword_comparison[record_identifier],keyword_comparison[[#This Row],[record_identifier]],keyword_comparison[Review],"&lt;&gt;")</f>
        <v>16</v>
      </c>
      <c r="Q643" cm="1">
        <f t="array" ref="Q643">SUMPRODUCT((keyword_comparison[record_identifier]=keyword_comparison[[#This Row],[record_identifier]])*(LEN(keyword_comparison[keyword_matcher_output])&gt;0))</f>
        <v>1</v>
      </c>
    </row>
    <row r="644" spans="1:17" x14ac:dyDescent="0.25">
      <c r="A644" t="s">
        <v>611</v>
      </c>
      <c r="B644" t="s">
        <v>612</v>
      </c>
      <c r="C644" t="s">
        <v>613</v>
      </c>
      <c r="D644" t="s">
        <v>20</v>
      </c>
      <c r="E644" t="s">
        <v>33</v>
      </c>
      <c r="H644" t="s">
        <v>54</v>
      </c>
      <c r="I644" t="s">
        <v>88</v>
      </c>
      <c r="J644" t="s">
        <v>150</v>
      </c>
      <c r="K644" t="s">
        <v>102</v>
      </c>
      <c r="M644">
        <v>0.16059999999999999</v>
      </c>
      <c r="N644">
        <v>1</v>
      </c>
      <c r="P644">
        <f>COUNTIFS(keyword_comparison[record_identifier],keyword_comparison[[#This Row],[record_identifier]],keyword_comparison[Review],"&lt;&gt;")</f>
        <v>16</v>
      </c>
      <c r="Q644" cm="1">
        <f t="array" ref="Q644">SUMPRODUCT((keyword_comparison[record_identifier]=keyword_comparison[[#This Row],[record_identifier]])*(LEN(keyword_comparison[keyword_matcher_output])&gt;0))</f>
        <v>1</v>
      </c>
    </row>
    <row r="645" spans="1:17" x14ac:dyDescent="0.25">
      <c r="A645" t="s">
        <v>611</v>
      </c>
      <c r="B645" t="s">
        <v>612</v>
      </c>
      <c r="C645" t="s">
        <v>613</v>
      </c>
      <c r="D645" t="s">
        <v>20</v>
      </c>
      <c r="E645" t="s">
        <v>33</v>
      </c>
      <c r="H645" t="s">
        <v>54</v>
      </c>
      <c r="I645" t="s">
        <v>80</v>
      </c>
      <c r="J645" t="s">
        <v>266</v>
      </c>
      <c r="K645" t="s">
        <v>194</v>
      </c>
      <c r="M645">
        <v>0.111</v>
      </c>
      <c r="N645">
        <v>2</v>
      </c>
      <c r="P645">
        <f>COUNTIFS(keyword_comparison[record_identifier],keyword_comparison[[#This Row],[record_identifier]],keyword_comparison[Review],"&lt;&gt;")</f>
        <v>16</v>
      </c>
      <c r="Q645" cm="1">
        <f t="array" ref="Q645">SUMPRODUCT((keyword_comparison[record_identifier]=keyword_comparison[[#This Row],[record_identifier]])*(LEN(keyword_comparison[keyword_matcher_output])&gt;0))</f>
        <v>1</v>
      </c>
    </row>
    <row r="646" spans="1:17" x14ac:dyDescent="0.25">
      <c r="A646" t="s">
        <v>611</v>
      </c>
      <c r="B646" t="s">
        <v>612</v>
      </c>
      <c r="C646" t="s">
        <v>613</v>
      </c>
      <c r="D646" t="s">
        <v>20</v>
      </c>
      <c r="E646" t="s">
        <v>48</v>
      </c>
      <c r="H646" t="s">
        <v>54</v>
      </c>
      <c r="I646" t="s">
        <v>80</v>
      </c>
      <c r="J646" t="s">
        <v>84</v>
      </c>
      <c r="K646" t="s">
        <v>85</v>
      </c>
      <c r="P646">
        <f>COUNTIFS(keyword_comparison[record_identifier],keyword_comparison[[#This Row],[record_identifier]],keyword_comparison[Review],"&lt;&gt;")</f>
        <v>16</v>
      </c>
      <c r="Q646" cm="1">
        <f t="array" ref="Q646">SUMPRODUCT((keyword_comparison[record_identifier]=keyword_comparison[[#This Row],[record_identifier]])*(LEN(keyword_comparison[keyword_matcher_output])&gt;0))</f>
        <v>1</v>
      </c>
    </row>
    <row r="647" spans="1:17" x14ac:dyDescent="0.25">
      <c r="A647" t="s">
        <v>611</v>
      </c>
      <c r="B647" t="s">
        <v>612</v>
      </c>
      <c r="C647" t="s">
        <v>613</v>
      </c>
      <c r="D647" t="s">
        <v>20</v>
      </c>
      <c r="E647" t="s">
        <v>48</v>
      </c>
      <c r="H647" t="s">
        <v>54</v>
      </c>
      <c r="I647" t="s">
        <v>88</v>
      </c>
      <c r="J647" t="s">
        <v>252</v>
      </c>
      <c r="K647" t="s">
        <v>183</v>
      </c>
      <c r="P647">
        <f>COUNTIFS(keyword_comparison[record_identifier],keyword_comparison[[#This Row],[record_identifier]],keyword_comparison[Review],"&lt;&gt;")</f>
        <v>16</v>
      </c>
      <c r="Q647" cm="1">
        <f t="array" ref="Q647">SUMPRODUCT((keyword_comparison[record_identifier]=keyword_comparison[[#This Row],[record_identifier]])*(LEN(keyword_comparison[keyword_matcher_output])&gt;0))</f>
        <v>1</v>
      </c>
    </row>
    <row r="648" spans="1:17" x14ac:dyDescent="0.25">
      <c r="A648" t="s">
        <v>611</v>
      </c>
      <c r="B648" t="s">
        <v>612</v>
      </c>
      <c r="C648" t="s">
        <v>613</v>
      </c>
      <c r="D648" t="s">
        <v>20</v>
      </c>
      <c r="E648" t="s">
        <v>53</v>
      </c>
      <c r="F648" t="s">
        <v>54</v>
      </c>
      <c r="G648" t="s">
        <v>54</v>
      </c>
      <c r="H648" t="s">
        <v>54</v>
      </c>
      <c r="I648" t="s">
        <v>88</v>
      </c>
      <c r="J648" t="s">
        <v>252</v>
      </c>
      <c r="K648" t="s">
        <v>183</v>
      </c>
      <c r="O648">
        <v>1</v>
      </c>
      <c r="P648">
        <f>COUNTIFS(keyword_comparison[record_identifier],keyword_comparison[[#This Row],[record_identifier]],keyword_comparison[Review],"&lt;&gt;")</f>
        <v>16</v>
      </c>
      <c r="Q648" cm="1">
        <f t="array" ref="Q648">SUMPRODUCT((keyword_comparison[record_identifier]=keyword_comparison[[#This Row],[record_identifier]])*(LEN(keyword_comparison[keyword_matcher_output])&gt;0))</f>
        <v>1</v>
      </c>
    </row>
    <row r="649" spans="1:17" x14ac:dyDescent="0.25">
      <c r="A649" t="s">
        <v>611</v>
      </c>
      <c r="B649" t="s">
        <v>612</v>
      </c>
      <c r="C649" t="s">
        <v>613</v>
      </c>
      <c r="D649" t="s">
        <v>20</v>
      </c>
      <c r="E649" t="s">
        <v>53</v>
      </c>
      <c r="F649" t="s">
        <v>54</v>
      </c>
      <c r="G649" t="s">
        <v>54</v>
      </c>
      <c r="H649" t="s">
        <v>54</v>
      </c>
      <c r="I649" t="s">
        <v>88</v>
      </c>
      <c r="J649" t="s">
        <v>59</v>
      </c>
      <c r="K649" t="s">
        <v>60</v>
      </c>
      <c r="O649">
        <v>2</v>
      </c>
      <c r="P649">
        <f>COUNTIFS(keyword_comparison[record_identifier],keyword_comparison[[#This Row],[record_identifier]],keyword_comparison[Review],"&lt;&gt;")</f>
        <v>16</v>
      </c>
      <c r="Q649" cm="1">
        <f t="array" ref="Q649">SUMPRODUCT((keyword_comparison[record_identifier]=keyword_comparison[[#This Row],[record_identifier]])*(LEN(keyword_comparison[keyword_matcher_output])&gt;0))</f>
        <v>1</v>
      </c>
    </row>
    <row r="650" spans="1:17" x14ac:dyDescent="0.25">
      <c r="A650" t="s">
        <v>611</v>
      </c>
      <c r="B650" t="s">
        <v>612</v>
      </c>
      <c r="C650" t="s">
        <v>613</v>
      </c>
      <c r="D650" t="s">
        <v>20</v>
      </c>
      <c r="E650" t="s">
        <v>53</v>
      </c>
      <c r="F650" t="s">
        <v>54</v>
      </c>
      <c r="G650" t="s">
        <v>54</v>
      </c>
      <c r="H650" t="s">
        <v>54</v>
      </c>
      <c r="I650" t="s">
        <v>80</v>
      </c>
      <c r="J650" t="s">
        <v>204</v>
      </c>
      <c r="K650" t="s">
        <v>205</v>
      </c>
      <c r="O650">
        <v>3</v>
      </c>
      <c r="P650">
        <f>COUNTIFS(keyword_comparison[record_identifier],keyword_comparison[[#This Row],[record_identifier]],keyword_comparison[Review],"&lt;&gt;")</f>
        <v>16</v>
      </c>
      <c r="Q650" cm="1">
        <f t="array" ref="Q650">SUMPRODUCT((keyword_comparison[record_identifier]=keyword_comparison[[#This Row],[record_identifier]])*(LEN(keyword_comparison[keyword_matcher_output])&gt;0))</f>
        <v>1</v>
      </c>
    </row>
    <row r="651" spans="1:17" x14ac:dyDescent="0.25">
      <c r="A651" t="s">
        <v>611</v>
      </c>
      <c r="B651" t="s">
        <v>612</v>
      </c>
      <c r="C651" t="s">
        <v>613</v>
      </c>
      <c r="D651" t="s">
        <v>20</v>
      </c>
      <c r="E651" t="s">
        <v>53</v>
      </c>
      <c r="F651" t="s">
        <v>54</v>
      </c>
      <c r="G651" t="s">
        <v>54</v>
      </c>
      <c r="H651" t="s">
        <v>54</v>
      </c>
      <c r="I651" t="s">
        <v>88</v>
      </c>
      <c r="J651" t="s">
        <v>36</v>
      </c>
      <c r="K651" t="s">
        <v>37</v>
      </c>
      <c r="O651">
        <v>4</v>
      </c>
      <c r="P651">
        <f>COUNTIFS(keyword_comparison[record_identifier],keyword_comparison[[#This Row],[record_identifier]],keyword_comparison[Review],"&lt;&gt;")</f>
        <v>16</v>
      </c>
      <c r="Q651" cm="1">
        <f t="array" ref="Q651">SUMPRODUCT((keyword_comparison[record_identifier]=keyword_comparison[[#This Row],[record_identifier]])*(LEN(keyword_comparison[keyword_matcher_output])&gt;0))</f>
        <v>1</v>
      </c>
    </row>
    <row r="652" spans="1:17" x14ac:dyDescent="0.25">
      <c r="A652" t="s">
        <v>611</v>
      </c>
      <c r="B652" t="s">
        <v>612</v>
      </c>
      <c r="C652" t="s">
        <v>613</v>
      </c>
      <c r="D652" t="s">
        <v>20</v>
      </c>
      <c r="E652" t="s">
        <v>53</v>
      </c>
      <c r="F652" t="s">
        <v>54</v>
      </c>
      <c r="G652" t="s">
        <v>54</v>
      </c>
      <c r="H652" t="s">
        <v>54</v>
      </c>
      <c r="I652" t="s">
        <v>88</v>
      </c>
      <c r="J652" t="s">
        <v>189</v>
      </c>
      <c r="K652" t="s">
        <v>190</v>
      </c>
      <c r="O652">
        <v>5</v>
      </c>
      <c r="P652">
        <f>COUNTIFS(keyword_comparison[record_identifier],keyword_comparison[[#This Row],[record_identifier]],keyword_comparison[Review],"&lt;&gt;")</f>
        <v>16</v>
      </c>
      <c r="Q652" cm="1">
        <f t="array" ref="Q652">SUMPRODUCT((keyword_comparison[record_identifier]=keyword_comparison[[#This Row],[record_identifier]])*(LEN(keyword_comparison[keyword_matcher_output])&gt;0))</f>
        <v>1</v>
      </c>
    </row>
    <row r="653" spans="1:17" x14ac:dyDescent="0.25">
      <c r="A653" t="s">
        <v>611</v>
      </c>
      <c r="B653" t="s">
        <v>612</v>
      </c>
      <c r="C653" t="s">
        <v>613</v>
      </c>
      <c r="D653" t="s">
        <v>20</v>
      </c>
      <c r="E653" t="s">
        <v>53</v>
      </c>
      <c r="F653" t="s">
        <v>54</v>
      </c>
      <c r="G653" t="s">
        <v>54</v>
      </c>
      <c r="H653" t="s">
        <v>54</v>
      </c>
      <c r="I653" t="s">
        <v>80</v>
      </c>
      <c r="J653" t="s">
        <v>186</v>
      </c>
      <c r="K653" t="s">
        <v>174</v>
      </c>
      <c r="O653">
        <v>6</v>
      </c>
      <c r="P653">
        <f>COUNTIFS(keyword_comparison[record_identifier],keyword_comparison[[#This Row],[record_identifier]],keyword_comparison[Review],"&lt;&gt;")</f>
        <v>16</v>
      </c>
      <c r="Q653" cm="1">
        <f t="array" ref="Q653">SUMPRODUCT((keyword_comparison[record_identifier]=keyword_comparison[[#This Row],[record_identifier]])*(LEN(keyword_comparison[keyword_matcher_output])&gt;0))</f>
        <v>1</v>
      </c>
    </row>
    <row r="654" spans="1:17" x14ac:dyDescent="0.25">
      <c r="A654" t="s">
        <v>611</v>
      </c>
      <c r="B654" t="s">
        <v>612</v>
      </c>
      <c r="C654" t="s">
        <v>613</v>
      </c>
      <c r="D654" t="s">
        <v>20</v>
      </c>
      <c r="E654" t="s">
        <v>53</v>
      </c>
      <c r="F654" t="s">
        <v>54</v>
      </c>
      <c r="G654" t="s">
        <v>54</v>
      </c>
      <c r="H654" t="s">
        <v>54</v>
      </c>
      <c r="I654" t="s">
        <v>80</v>
      </c>
      <c r="J654" t="s">
        <v>211</v>
      </c>
      <c r="K654" t="s">
        <v>212</v>
      </c>
      <c r="O654">
        <v>7</v>
      </c>
      <c r="P654">
        <f>COUNTIFS(keyword_comparison[record_identifier],keyword_comparison[[#This Row],[record_identifier]],keyword_comparison[Review],"&lt;&gt;")</f>
        <v>16</v>
      </c>
      <c r="Q654" cm="1">
        <f t="array" ref="Q654">SUMPRODUCT((keyword_comparison[record_identifier]=keyword_comparison[[#This Row],[record_identifier]])*(LEN(keyword_comparison[keyword_matcher_output])&gt;0))</f>
        <v>1</v>
      </c>
    </row>
    <row r="655" spans="1:17" x14ac:dyDescent="0.25">
      <c r="A655" t="s">
        <v>611</v>
      </c>
      <c r="B655" t="s">
        <v>612</v>
      </c>
      <c r="C655" t="s">
        <v>613</v>
      </c>
      <c r="D655" t="s">
        <v>20</v>
      </c>
      <c r="E655" t="s">
        <v>53</v>
      </c>
      <c r="F655" t="s">
        <v>54</v>
      </c>
      <c r="G655" t="s">
        <v>54</v>
      </c>
      <c r="H655" t="s">
        <v>54</v>
      </c>
      <c r="I655" t="s">
        <v>80</v>
      </c>
      <c r="J655" t="s">
        <v>508</v>
      </c>
      <c r="K655" t="s">
        <v>509</v>
      </c>
      <c r="O655">
        <v>8</v>
      </c>
      <c r="P655">
        <f>COUNTIFS(keyword_comparison[record_identifier],keyword_comparison[[#This Row],[record_identifier]],keyword_comparison[Review],"&lt;&gt;")</f>
        <v>16</v>
      </c>
      <c r="Q655" cm="1">
        <f t="array" ref="Q655">SUMPRODUCT((keyword_comparison[record_identifier]=keyword_comparison[[#This Row],[record_identifier]])*(LEN(keyword_comparison[keyword_matcher_output])&gt;0))</f>
        <v>1</v>
      </c>
    </row>
    <row r="656" spans="1:17" x14ac:dyDescent="0.25">
      <c r="A656" t="s">
        <v>611</v>
      </c>
      <c r="B656" t="s">
        <v>612</v>
      </c>
      <c r="C656" t="s">
        <v>613</v>
      </c>
      <c r="D656" t="s">
        <v>20</v>
      </c>
      <c r="E656" t="s">
        <v>53</v>
      </c>
      <c r="F656" t="s">
        <v>54</v>
      </c>
      <c r="G656" t="s">
        <v>54</v>
      </c>
      <c r="H656" t="s">
        <v>54</v>
      </c>
      <c r="I656" t="s">
        <v>88</v>
      </c>
      <c r="J656" t="s">
        <v>318</v>
      </c>
      <c r="K656" t="s">
        <v>319</v>
      </c>
      <c r="O656">
        <v>9</v>
      </c>
      <c r="P656">
        <f>COUNTIFS(keyword_comparison[record_identifier],keyword_comparison[[#This Row],[record_identifier]],keyword_comparison[Review],"&lt;&gt;")</f>
        <v>16</v>
      </c>
      <c r="Q656" cm="1">
        <f t="array" ref="Q656">SUMPRODUCT((keyword_comparison[record_identifier]=keyword_comparison[[#This Row],[record_identifier]])*(LEN(keyword_comparison[keyword_matcher_output])&gt;0))</f>
        <v>1</v>
      </c>
    </row>
    <row r="657" spans="1:17" x14ac:dyDescent="0.25">
      <c r="A657" t="s">
        <v>618</v>
      </c>
      <c r="B657" t="s">
        <v>619</v>
      </c>
      <c r="C657" t="s">
        <v>620</v>
      </c>
      <c r="D657" t="s">
        <v>20</v>
      </c>
      <c r="E657" t="s">
        <v>21</v>
      </c>
      <c r="F657" t="s">
        <v>32</v>
      </c>
      <c r="G657" t="s">
        <v>31</v>
      </c>
      <c r="H657" t="s">
        <v>54</v>
      </c>
      <c r="P657">
        <f>COUNTIFS(keyword_comparison[record_identifier],keyword_comparison[[#This Row],[record_identifier]],keyword_comparison[Review],"&lt;&gt;")</f>
        <v>0</v>
      </c>
      <c r="Q657" cm="1">
        <f t="array" ref="Q657">SUMPRODUCT((keyword_comparison[record_identifier]=keyword_comparison[[#This Row],[record_identifier]])*(LEN(keyword_comparison[keyword_matcher_output])&gt;0))</f>
        <v>0</v>
      </c>
    </row>
    <row r="658" spans="1:17" x14ac:dyDescent="0.25">
      <c r="A658" t="s">
        <v>618</v>
      </c>
      <c r="B658" t="s">
        <v>619</v>
      </c>
      <c r="C658" t="s">
        <v>620</v>
      </c>
      <c r="D658" t="s">
        <v>20</v>
      </c>
      <c r="E658" t="s">
        <v>21</v>
      </c>
      <c r="F658" t="s">
        <v>30</v>
      </c>
      <c r="G658" t="s">
        <v>31</v>
      </c>
      <c r="H658" t="s">
        <v>54</v>
      </c>
      <c r="P658">
        <f>COUNTIFS(keyword_comparison[record_identifier],keyword_comparison[[#This Row],[record_identifier]],keyword_comparison[Review],"&lt;&gt;")</f>
        <v>0</v>
      </c>
      <c r="Q658" cm="1">
        <f t="array" ref="Q658">SUMPRODUCT((keyword_comparison[record_identifier]=keyword_comparison[[#This Row],[record_identifier]])*(LEN(keyword_comparison[keyword_matcher_output])&gt;0))</f>
        <v>0</v>
      </c>
    </row>
    <row r="659" spans="1:17" x14ac:dyDescent="0.25">
      <c r="A659" t="s">
        <v>618</v>
      </c>
      <c r="B659" t="s">
        <v>619</v>
      </c>
      <c r="C659" t="s">
        <v>620</v>
      </c>
      <c r="D659" t="s">
        <v>20</v>
      </c>
      <c r="E659" t="s">
        <v>48</v>
      </c>
      <c r="H659" t="s">
        <v>54</v>
      </c>
      <c r="J659" t="s">
        <v>84</v>
      </c>
      <c r="K659" t="s">
        <v>85</v>
      </c>
      <c r="P659">
        <f>COUNTIFS(keyword_comparison[record_identifier],keyword_comparison[[#This Row],[record_identifier]],keyword_comparison[Review],"&lt;&gt;")</f>
        <v>0</v>
      </c>
      <c r="Q659" cm="1">
        <f t="array" ref="Q659">SUMPRODUCT((keyword_comparison[record_identifier]=keyword_comparison[[#This Row],[record_identifier]])*(LEN(keyword_comparison[keyword_matcher_output])&gt;0))</f>
        <v>0</v>
      </c>
    </row>
    <row r="660" spans="1:17" x14ac:dyDescent="0.25">
      <c r="A660" t="s">
        <v>618</v>
      </c>
      <c r="B660" t="s">
        <v>619</v>
      </c>
      <c r="C660" t="s">
        <v>620</v>
      </c>
      <c r="D660" t="s">
        <v>20</v>
      </c>
      <c r="E660" t="s">
        <v>53</v>
      </c>
      <c r="F660" t="s">
        <v>54</v>
      </c>
      <c r="G660" t="s">
        <v>54</v>
      </c>
      <c r="H660" t="s">
        <v>54</v>
      </c>
      <c r="J660" t="s">
        <v>193</v>
      </c>
      <c r="K660" t="s">
        <v>194</v>
      </c>
      <c r="O660">
        <v>1</v>
      </c>
      <c r="P660">
        <f>COUNTIFS(keyword_comparison[record_identifier],keyword_comparison[[#This Row],[record_identifier]],keyword_comparison[Review],"&lt;&gt;")</f>
        <v>0</v>
      </c>
      <c r="Q660" cm="1">
        <f t="array" ref="Q660">SUMPRODUCT((keyword_comparison[record_identifier]=keyword_comparison[[#This Row],[record_identifier]])*(LEN(keyword_comparison[keyword_matcher_output])&gt;0))</f>
        <v>0</v>
      </c>
    </row>
    <row r="661" spans="1:17" x14ac:dyDescent="0.25">
      <c r="A661" t="s">
        <v>618</v>
      </c>
      <c r="B661" t="s">
        <v>619</v>
      </c>
      <c r="C661" t="s">
        <v>620</v>
      </c>
      <c r="D661" t="s">
        <v>20</v>
      </c>
      <c r="E661" t="s">
        <v>53</v>
      </c>
      <c r="F661" t="s">
        <v>54</v>
      </c>
      <c r="G661" t="s">
        <v>54</v>
      </c>
      <c r="H661" t="s">
        <v>54</v>
      </c>
      <c r="J661" t="s">
        <v>547</v>
      </c>
      <c r="K661" t="s">
        <v>221</v>
      </c>
      <c r="O661">
        <v>3</v>
      </c>
      <c r="P661">
        <f>COUNTIFS(keyword_comparison[record_identifier],keyword_comparison[[#This Row],[record_identifier]],keyword_comparison[Review],"&lt;&gt;")</f>
        <v>0</v>
      </c>
      <c r="Q661" cm="1">
        <f t="array" ref="Q661">SUMPRODUCT((keyword_comparison[record_identifier]=keyword_comparison[[#This Row],[record_identifier]])*(LEN(keyword_comparison[keyword_matcher_output])&gt;0))</f>
        <v>0</v>
      </c>
    </row>
    <row r="662" spans="1:17" x14ac:dyDescent="0.25">
      <c r="A662" t="s">
        <v>618</v>
      </c>
      <c r="B662" t="s">
        <v>619</v>
      </c>
      <c r="C662" t="s">
        <v>620</v>
      </c>
      <c r="D662" t="s">
        <v>20</v>
      </c>
      <c r="E662" t="s">
        <v>53</v>
      </c>
      <c r="F662" t="s">
        <v>54</v>
      </c>
      <c r="G662" t="s">
        <v>54</v>
      </c>
      <c r="H662" t="s">
        <v>54</v>
      </c>
      <c r="J662" t="s">
        <v>547</v>
      </c>
      <c r="K662" t="s">
        <v>220</v>
      </c>
      <c r="O662">
        <v>3</v>
      </c>
      <c r="P662">
        <f>COUNTIFS(keyword_comparison[record_identifier],keyword_comparison[[#This Row],[record_identifier]],keyword_comparison[Review],"&lt;&gt;")</f>
        <v>0</v>
      </c>
      <c r="Q662" cm="1">
        <f t="array" ref="Q662">SUMPRODUCT((keyword_comparison[record_identifier]=keyword_comparison[[#This Row],[record_identifier]])*(LEN(keyword_comparison[keyword_matcher_output])&gt;0))</f>
        <v>0</v>
      </c>
    </row>
    <row r="663" spans="1:17" x14ac:dyDescent="0.25">
      <c r="A663" t="s">
        <v>618</v>
      </c>
      <c r="B663" t="s">
        <v>619</v>
      </c>
      <c r="C663" t="s">
        <v>620</v>
      </c>
      <c r="D663" t="s">
        <v>20</v>
      </c>
      <c r="E663" t="s">
        <v>53</v>
      </c>
      <c r="F663" t="s">
        <v>54</v>
      </c>
      <c r="G663" t="s">
        <v>54</v>
      </c>
      <c r="H663" t="s">
        <v>54</v>
      </c>
      <c r="J663" t="s">
        <v>204</v>
      </c>
      <c r="K663" t="s">
        <v>205</v>
      </c>
      <c r="O663">
        <v>5</v>
      </c>
      <c r="P663">
        <f>COUNTIFS(keyword_comparison[record_identifier],keyword_comparison[[#This Row],[record_identifier]],keyword_comparison[Review],"&lt;&gt;")</f>
        <v>0</v>
      </c>
      <c r="Q663" cm="1">
        <f t="array" ref="Q663">SUMPRODUCT((keyword_comparison[record_identifier]=keyword_comparison[[#This Row],[record_identifier]])*(LEN(keyword_comparison[keyword_matcher_output])&gt;0))</f>
        <v>0</v>
      </c>
    </row>
    <row r="664" spans="1:17" x14ac:dyDescent="0.25">
      <c r="A664" t="s">
        <v>618</v>
      </c>
      <c r="B664" t="s">
        <v>619</v>
      </c>
      <c r="C664" t="s">
        <v>620</v>
      </c>
      <c r="D664" t="s">
        <v>20</v>
      </c>
      <c r="E664" t="s">
        <v>53</v>
      </c>
      <c r="F664" t="s">
        <v>54</v>
      </c>
      <c r="G664" t="s">
        <v>54</v>
      </c>
      <c r="H664" t="s">
        <v>54</v>
      </c>
      <c r="J664" t="s">
        <v>211</v>
      </c>
      <c r="K664" t="s">
        <v>212</v>
      </c>
      <c r="O664">
        <v>6</v>
      </c>
      <c r="P664">
        <f>COUNTIFS(keyword_comparison[record_identifier],keyword_comparison[[#This Row],[record_identifier]],keyword_comparison[Review],"&lt;&gt;")</f>
        <v>0</v>
      </c>
      <c r="Q664" cm="1">
        <f t="array" ref="Q664">SUMPRODUCT((keyword_comparison[record_identifier]=keyword_comparison[[#This Row],[record_identifier]])*(LEN(keyword_comparison[keyword_matcher_output])&gt;0))</f>
        <v>0</v>
      </c>
    </row>
    <row r="665" spans="1:17" x14ac:dyDescent="0.25">
      <c r="A665" t="s">
        <v>618</v>
      </c>
      <c r="B665" t="s">
        <v>619</v>
      </c>
      <c r="C665" t="s">
        <v>620</v>
      </c>
      <c r="D665" t="s">
        <v>20</v>
      </c>
      <c r="E665" t="s">
        <v>53</v>
      </c>
      <c r="F665" t="s">
        <v>54</v>
      </c>
      <c r="G665" t="s">
        <v>54</v>
      </c>
      <c r="H665" t="s">
        <v>54</v>
      </c>
      <c r="J665" t="s">
        <v>609</v>
      </c>
      <c r="K665" t="s">
        <v>610</v>
      </c>
      <c r="O665">
        <v>7</v>
      </c>
      <c r="P665">
        <f>COUNTIFS(keyword_comparison[record_identifier],keyword_comparison[[#This Row],[record_identifier]],keyword_comparison[Review],"&lt;&gt;")</f>
        <v>0</v>
      </c>
      <c r="Q665" cm="1">
        <f t="array" ref="Q665">SUMPRODUCT((keyword_comparison[record_identifier]=keyword_comparison[[#This Row],[record_identifier]])*(LEN(keyword_comparison[keyword_matcher_output])&gt;0))</f>
        <v>0</v>
      </c>
    </row>
    <row r="666" spans="1:17" x14ac:dyDescent="0.25">
      <c r="A666" t="s">
        <v>618</v>
      </c>
      <c r="B666" t="s">
        <v>619</v>
      </c>
      <c r="C666" t="s">
        <v>620</v>
      </c>
      <c r="D666" t="s">
        <v>20</v>
      </c>
      <c r="E666" t="s">
        <v>53</v>
      </c>
      <c r="F666" t="s">
        <v>54</v>
      </c>
      <c r="G666" t="s">
        <v>54</v>
      </c>
      <c r="H666" t="s">
        <v>54</v>
      </c>
      <c r="J666" t="s">
        <v>621</v>
      </c>
      <c r="K666" t="s">
        <v>622</v>
      </c>
      <c r="O666">
        <v>8</v>
      </c>
      <c r="P666">
        <f>COUNTIFS(keyword_comparison[record_identifier],keyword_comparison[[#This Row],[record_identifier]],keyword_comparison[Review],"&lt;&gt;")</f>
        <v>0</v>
      </c>
      <c r="Q666" cm="1">
        <f t="array" ref="Q666">SUMPRODUCT((keyword_comparison[record_identifier]=keyword_comparison[[#This Row],[record_identifier]])*(LEN(keyword_comparison[keyword_matcher_output])&gt;0))</f>
        <v>0</v>
      </c>
    </row>
    <row r="667" spans="1:17" x14ac:dyDescent="0.25">
      <c r="A667" t="s">
        <v>618</v>
      </c>
      <c r="B667" t="s">
        <v>619</v>
      </c>
      <c r="C667" t="s">
        <v>620</v>
      </c>
      <c r="D667" t="s">
        <v>20</v>
      </c>
      <c r="E667" t="s">
        <v>53</v>
      </c>
      <c r="F667" t="s">
        <v>54</v>
      </c>
      <c r="G667" t="s">
        <v>54</v>
      </c>
      <c r="H667" t="s">
        <v>54</v>
      </c>
      <c r="J667" t="s">
        <v>623</v>
      </c>
      <c r="K667" t="s">
        <v>624</v>
      </c>
      <c r="O667">
        <v>9</v>
      </c>
      <c r="P667">
        <f>COUNTIFS(keyword_comparison[record_identifier],keyword_comparison[[#This Row],[record_identifier]],keyword_comparison[Review],"&lt;&gt;")</f>
        <v>0</v>
      </c>
      <c r="Q667" cm="1">
        <f t="array" ref="Q667">SUMPRODUCT((keyword_comparison[record_identifier]=keyword_comparison[[#This Row],[record_identifier]])*(LEN(keyword_comparison[keyword_matcher_output])&gt;0))</f>
        <v>0</v>
      </c>
    </row>
    <row r="668" spans="1:17" x14ac:dyDescent="0.25">
      <c r="A668" t="s">
        <v>618</v>
      </c>
      <c r="B668" t="s">
        <v>619</v>
      </c>
      <c r="C668" t="s">
        <v>620</v>
      </c>
      <c r="D668" t="s">
        <v>20</v>
      </c>
      <c r="E668" t="s">
        <v>53</v>
      </c>
      <c r="F668" t="s">
        <v>54</v>
      </c>
      <c r="G668" t="s">
        <v>54</v>
      </c>
      <c r="H668" t="s">
        <v>54</v>
      </c>
      <c r="J668" t="s">
        <v>233</v>
      </c>
      <c r="K668" t="s">
        <v>234</v>
      </c>
      <c r="O668">
        <v>10</v>
      </c>
      <c r="P668">
        <f>COUNTIFS(keyword_comparison[record_identifier],keyword_comparison[[#This Row],[record_identifier]],keyword_comparison[Review],"&lt;&gt;")</f>
        <v>0</v>
      </c>
      <c r="Q668" cm="1">
        <f t="array" ref="Q668">SUMPRODUCT((keyword_comparison[record_identifier]=keyword_comparison[[#This Row],[record_identifier]])*(LEN(keyword_comparison[keyword_matcher_output])&gt;0))</f>
        <v>0</v>
      </c>
    </row>
    <row r="669" spans="1:17" x14ac:dyDescent="0.25">
      <c r="A669" t="s">
        <v>625</v>
      </c>
      <c r="B669" t="s">
        <v>626</v>
      </c>
      <c r="C669" t="s">
        <v>627</v>
      </c>
      <c r="D669" t="s">
        <v>20</v>
      </c>
      <c r="E669" t="s">
        <v>21</v>
      </c>
      <c r="F669" t="s">
        <v>628</v>
      </c>
      <c r="G669" t="s">
        <v>23</v>
      </c>
      <c r="H669" t="s">
        <v>54</v>
      </c>
      <c r="P669">
        <f>COUNTIFS(keyword_comparison[record_identifier],keyword_comparison[[#This Row],[record_identifier]],keyword_comparison[Review],"&lt;&gt;")</f>
        <v>0</v>
      </c>
      <c r="Q669" cm="1">
        <f t="array" ref="Q669">SUMPRODUCT((keyword_comparison[record_identifier]=keyword_comparison[[#This Row],[record_identifier]])*(LEN(keyword_comparison[keyword_matcher_output])&gt;0))</f>
        <v>2</v>
      </c>
    </row>
    <row r="670" spans="1:17" x14ac:dyDescent="0.25">
      <c r="A670" t="s">
        <v>625</v>
      </c>
      <c r="B670" t="s">
        <v>626</v>
      </c>
      <c r="C670" t="s">
        <v>627</v>
      </c>
      <c r="D670" t="s">
        <v>20</v>
      </c>
      <c r="E670" t="s">
        <v>21</v>
      </c>
      <c r="F670" t="s">
        <v>32</v>
      </c>
      <c r="G670" t="s">
        <v>31</v>
      </c>
      <c r="H670" t="s">
        <v>54</v>
      </c>
      <c r="P670">
        <f>COUNTIFS(keyword_comparison[record_identifier],keyword_comparison[[#This Row],[record_identifier]],keyword_comparison[Review],"&lt;&gt;")</f>
        <v>0</v>
      </c>
      <c r="Q670" cm="1">
        <f t="array" ref="Q670">SUMPRODUCT((keyword_comparison[record_identifier]=keyword_comparison[[#This Row],[record_identifier]])*(LEN(keyword_comparison[keyword_matcher_output])&gt;0))</f>
        <v>2</v>
      </c>
    </row>
    <row r="671" spans="1:17" x14ac:dyDescent="0.25">
      <c r="A671" t="s">
        <v>625</v>
      </c>
      <c r="B671" t="s">
        <v>626</v>
      </c>
      <c r="C671" t="s">
        <v>627</v>
      </c>
      <c r="D671" t="s">
        <v>20</v>
      </c>
      <c r="E671" t="s">
        <v>21</v>
      </c>
      <c r="F671" t="s">
        <v>30</v>
      </c>
      <c r="G671" t="s">
        <v>31</v>
      </c>
      <c r="H671" t="s">
        <v>54</v>
      </c>
      <c r="P671">
        <f>COUNTIFS(keyword_comparison[record_identifier],keyword_comparison[[#This Row],[record_identifier]],keyword_comparison[Review],"&lt;&gt;")</f>
        <v>0</v>
      </c>
      <c r="Q671" cm="1">
        <f t="array" ref="Q671">SUMPRODUCT((keyword_comparison[record_identifier]=keyword_comparison[[#This Row],[record_identifier]])*(LEN(keyword_comparison[keyword_matcher_output])&gt;0))</f>
        <v>2</v>
      </c>
    </row>
    <row r="672" spans="1:17" x14ac:dyDescent="0.25">
      <c r="A672" t="s">
        <v>625</v>
      </c>
      <c r="B672" t="s">
        <v>626</v>
      </c>
      <c r="C672" t="s">
        <v>627</v>
      </c>
      <c r="D672" t="s">
        <v>20</v>
      </c>
      <c r="E672" t="s">
        <v>21</v>
      </c>
      <c r="F672" t="s">
        <v>621</v>
      </c>
      <c r="G672" t="s">
        <v>23</v>
      </c>
      <c r="H672" t="s">
        <v>622</v>
      </c>
      <c r="P672">
        <f>COUNTIFS(keyword_comparison[record_identifier],keyword_comparison[[#This Row],[record_identifier]],keyword_comparison[Review],"&lt;&gt;")</f>
        <v>0</v>
      </c>
      <c r="Q672" cm="1">
        <f t="array" ref="Q672">SUMPRODUCT((keyword_comparison[record_identifier]=keyword_comparison[[#This Row],[record_identifier]])*(LEN(keyword_comparison[keyword_matcher_output])&gt;0))</f>
        <v>2</v>
      </c>
    </row>
    <row r="673" spans="1:17" x14ac:dyDescent="0.25">
      <c r="A673" t="s">
        <v>625</v>
      </c>
      <c r="B673" t="s">
        <v>626</v>
      </c>
      <c r="C673" t="s">
        <v>627</v>
      </c>
      <c r="D673" t="s">
        <v>20</v>
      </c>
      <c r="E673" t="s">
        <v>21</v>
      </c>
      <c r="F673" t="s">
        <v>84</v>
      </c>
      <c r="G673" t="s">
        <v>23</v>
      </c>
      <c r="H673" t="s">
        <v>85</v>
      </c>
      <c r="P673">
        <f>COUNTIFS(keyword_comparison[record_identifier],keyword_comparison[[#This Row],[record_identifier]],keyword_comparison[Review],"&lt;&gt;")</f>
        <v>0</v>
      </c>
      <c r="Q673" cm="1">
        <f t="array" ref="Q673">SUMPRODUCT((keyword_comparison[record_identifier]=keyword_comparison[[#This Row],[record_identifier]])*(LEN(keyword_comparison[keyword_matcher_output])&gt;0))</f>
        <v>2</v>
      </c>
    </row>
    <row r="674" spans="1:17" x14ac:dyDescent="0.25">
      <c r="A674" t="s">
        <v>625</v>
      </c>
      <c r="B674" t="s">
        <v>626</v>
      </c>
      <c r="C674" t="s">
        <v>627</v>
      </c>
      <c r="D674" t="s">
        <v>20</v>
      </c>
      <c r="E674" t="s">
        <v>33</v>
      </c>
      <c r="H674" t="s">
        <v>54</v>
      </c>
      <c r="J674" t="s">
        <v>609</v>
      </c>
      <c r="K674" t="s">
        <v>610</v>
      </c>
      <c r="M674">
        <v>0.747</v>
      </c>
      <c r="N674">
        <v>1</v>
      </c>
      <c r="P674">
        <f>COUNTIFS(keyword_comparison[record_identifier],keyword_comparison[[#This Row],[record_identifier]],keyword_comparison[Review],"&lt;&gt;")</f>
        <v>0</v>
      </c>
      <c r="Q674" cm="1">
        <f t="array" ref="Q674">SUMPRODUCT((keyword_comparison[record_identifier]=keyword_comparison[[#This Row],[record_identifier]])*(LEN(keyword_comparison[keyword_matcher_output])&gt;0))</f>
        <v>2</v>
      </c>
    </row>
    <row r="675" spans="1:17" x14ac:dyDescent="0.25">
      <c r="A675" t="s">
        <v>625</v>
      </c>
      <c r="B675" t="s">
        <v>626</v>
      </c>
      <c r="C675" t="s">
        <v>627</v>
      </c>
      <c r="D675" t="s">
        <v>20</v>
      </c>
      <c r="E675" t="s">
        <v>33</v>
      </c>
      <c r="H675" t="s">
        <v>54</v>
      </c>
      <c r="J675" t="s">
        <v>621</v>
      </c>
      <c r="K675" t="s">
        <v>622</v>
      </c>
      <c r="M675">
        <v>0.67559999999999998</v>
      </c>
      <c r="N675">
        <v>2</v>
      </c>
      <c r="P675">
        <f>COUNTIFS(keyword_comparison[record_identifier],keyword_comparison[[#This Row],[record_identifier]],keyword_comparison[Review],"&lt;&gt;")</f>
        <v>0</v>
      </c>
      <c r="Q675" cm="1">
        <f t="array" ref="Q675">SUMPRODUCT((keyword_comparison[record_identifier]=keyword_comparison[[#This Row],[record_identifier]])*(LEN(keyword_comparison[keyword_matcher_output])&gt;0))</f>
        <v>2</v>
      </c>
    </row>
    <row r="676" spans="1:17" x14ac:dyDescent="0.25">
      <c r="A676" t="s">
        <v>625</v>
      </c>
      <c r="B676" t="s">
        <v>626</v>
      </c>
      <c r="C676" t="s">
        <v>627</v>
      </c>
      <c r="D676" t="s">
        <v>20</v>
      </c>
      <c r="E676" t="s">
        <v>33</v>
      </c>
      <c r="H676" t="s">
        <v>54</v>
      </c>
      <c r="J676" t="s">
        <v>629</v>
      </c>
      <c r="K676" t="s">
        <v>259</v>
      </c>
      <c r="M676">
        <v>0.29970000000000002</v>
      </c>
      <c r="N676">
        <v>3</v>
      </c>
      <c r="P676">
        <f>COUNTIFS(keyword_comparison[record_identifier],keyword_comparison[[#This Row],[record_identifier]],keyword_comparison[Review],"&lt;&gt;")</f>
        <v>0</v>
      </c>
      <c r="Q676" cm="1">
        <f t="array" ref="Q676">SUMPRODUCT((keyword_comparison[record_identifier]=keyword_comparison[[#This Row],[record_identifier]])*(LEN(keyword_comparison[keyword_matcher_output])&gt;0))</f>
        <v>2</v>
      </c>
    </row>
    <row r="677" spans="1:17" x14ac:dyDescent="0.25">
      <c r="A677" t="s">
        <v>625</v>
      </c>
      <c r="B677" t="s">
        <v>626</v>
      </c>
      <c r="C677" t="s">
        <v>627</v>
      </c>
      <c r="D677" t="s">
        <v>20</v>
      </c>
      <c r="E677" t="s">
        <v>33</v>
      </c>
      <c r="H677" t="s">
        <v>54</v>
      </c>
      <c r="J677" t="s">
        <v>630</v>
      </c>
      <c r="K677" t="s">
        <v>631</v>
      </c>
      <c r="M677">
        <v>0.26300000000000001</v>
      </c>
      <c r="N677">
        <v>4</v>
      </c>
      <c r="P677">
        <f>COUNTIFS(keyword_comparison[record_identifier],keyword_comparison[[#This Row],[record_identifier]],keyword_comparison[Review],"&lt;&gt;")</f>
        <v>0</v>
      </c>
      <c r="Q677" cm="1">
        <f t="array" ref="Q677">SUMPRODUCT((keyword_comparison[record_identifier]=keyword_comparison[[#This Row],[record_identifier]])*(LEN(keyword_comparison[keyword_matcher_output])&gt;0))</f>
        <v>2</v>
      </c>
    </row>
    <row r="678" spans="1:17" x14ac:dyDescent="0.25">
      <c r="A678" t="s">
        <v>625</v>
      </c>
      <c r="B678" t="s">
        <v>626</v>
      </c>
      <c r="C678" t="s">
        <v>627</v>
      </c>
      <c r="D678" t="s">
        <v>20</v>
      </c>
      <c r="E678" t="s">
        <v>33</v>
      </c>
      <c r="H678" t="s">
        <v>54</v>
      </c>
      <c r="J678" t="s">
        <v>632</v>
      </c>
      <c r="K678" t="s">
        <v>633</v>
      </c>
      <c r="M678">
        <v>0.21240000000000001</v>
      </c>
      <c r="N678">
        <v>5</v>
      </c>
      <c r="P678">
        <f>COUNTIFS(keyword_comparison[record_identifier],keyword_comparison[[#This Row],[record_identifier]],keyword_comparison[Review],"&lt;&gt;")</f>
        <v>0</v>
      </c>
      <c r="Q678" cm="1">
        <f t="array" ref="Q678">SUMPRODUCT((keyword_comparison[record_identifier]=keyword_comparison[[#This Row],[record_identifier]])*(LEN(keyword_comparison[keyword_matcher_output])&gt;0))</f>
        <v>2</v>
      </c>
    </row>
    <row r="679" spans="1:17" x14ac:dyDescent="0.25">
      <c r="A679" t="s">
        <v>625</v>
      </c>
      <c r="B679" t="s">
        <v>626</v>
      </c>
      <c r="C679" t="s">
        <v>627</v>
      </c>
      <c r="D679" t="s">
        <v>20</v>
      </c>
      <c r="E679" t="s">
        <v>33</v>
      </c>
      <c r="H679" t="s">
        <v>54</v>
      </c>
      <c r="J679" t="s">
        <v>634</v>
      </c>
      <c r="K679" t="s">
        <v>635</v>
      </c>
      <c r="M679">
        <v>0.20669999999999999</v>
      </c>
      <c r="N679">
        <v>6</v>
      </c>
      <c r="P679">
        <f>COUNTIFS(keyword_comparison[record_identifier],keyword_comparison[[#This Row],[record_identifier]],keyword_comparison[Review],"&lt;&gt;")</f>
        <v>0</v>
      </c>
      <c r="Q679" cm="1">
        <f t="array" ref="Q679">SUMPRODUCT((keyword_comparison[record_identifier]=keyword_comparison[[#This Row],[record_identifier]])*(LEN(keyword_comparison[keyword_matcher_output])&gt;0))</f>
        <v>2</v>
      </c>
    </row>
    <row r="680" spans="1:17" x14ac:dyDescent="0.25">
      <c r="A680" t="s">
        <v>625</v>
      </c>
      <c r="B680" t="s">
        <v>626</v>
      </c>
      <c r="C680" t="s">
        <v>627</v>
      </c>
      <c r="D680" t="s">
        <v>20</v>
      </c>
      <c r="E680" t="s">
        <v>33</v>
      </c>
      <c r="H680" t="s">
        <v>54</v>
      </c>
      <c r="J680" t="s">
        <v>636</v>
      </c>
      <c r="K680" t="s">
        <v>637</v>
      </c>
      <c r="M680">
        <v>0.19700000000000001</v>
      </c>
      <c r="N680">
        <v>7</v>
      </c>
      <c r="P680">
        <f>COUNTIFS(keyword_comparison[record_identifier],keyword_comparison[[#This Row],[record_identifier]],keyword_comparison[Review],"&lt;&gt;")</f>
        <v>0</v>
      </c>
      <c r="Q680" cm="1">
        <f t="array" ref="Q680">SUMPRODUCT((keyword_comparison[record_identifier]=keyword_comparison[[#This Row],[record_identifier]])*(LEN(keyword_comparison[keyword_matcher_output])&gt;0))</f>
        <v>2</v>
      </c>
    </row>
    <row r="681" spans="1:17" x14ac:dyDescent="0.25">
      <c r="A681" t="s">
        <v>625</v>
      </c>
      <c r="B681" t="s">
        <v>626</v>
      </c>
      <c r="C681" t="s">
        <v>627</v>
      </c>
      <c r="D681" t="s">
        <v>20</v>
      </c>
      <c r="E681" t="s">
        <v>33</v>
      </c>
      <c r="H681" t="s">
        <v>54</v>
      </c>
      <c r="J681" t="s">
        <v>638</v>
      </c>
      <c r="K681" t="s">
        <v>639</v>
      </c>
      <c r="M681">
        <v>0.1535</v>
      </c>
      <c r="N681">
        <v>8</v>
      </c>
      <c r="P681">
        <f>COUNTIFS(keyword_comparison[record_identifier],keyword_comparison[[#This Row],[record_identifier]],keyword_comparison[Review],"&lt;&gt;")</f>
        <v>0</v>
      </c>
      <c r="Q681" cm="1">
        <f t="array" ref="Q681">SUMPRODUCT((keyword_comparison[record_identifier]=keyword_comparison[[#This Row],[record_identifier]])*(LEN(keyword_comparison[keyword_matcher_output])&gt;0))</f>
        <v>2</v>
      </c>
    </row>
    <row r="682" spans="1:17" x14ac:dyDescent="0.25">
      <c r="A682" t="s">
        <v>625</v>
      </c>
      <c r="B682" t="s">
        <v>626</v>
      </c>
      <c r="C682" t="s">
        <v>627</v>
      </c>
      <c r="D682" t="s">
        <v>20</v>
      </c>
      <c r="E682" t="s">
        <v>33</v>
      </c>
      <c r="H682" t="s">
        <v>54</v>
      </c>
      <c r="J682" t="s">
        <v>640</v>
      </c>
      <c r="K682" t="s">
        <v>641</v>
      </c>
      <c r="M682">
        <v>6.0600000000000001E-2</v>
      </c>
      <c r="N682">
        <v>9</v>
      </c>
      <c r="P682">
        <f>COUNTIFS(keyword_comparison[record_identifier],keyword_comparison[[#This Row],[record_identifier]],keyword_comparison[Review],"&lt;&gt;")</f>
        <v>0</v>
      </c>
      <c r="Q682" cm="1">
        <f t="array" ref="Q682">SUMPRODUCT((keyword_comparison[record_identifier]=keyword_comparison[[#This Row],[record_identifier]])*(LEN(keyword_comparison[keyword_matcher_output])&gt;0))</f>
        <v>2</v>
      </c>
    </row>
    <row r="683" spans="1:17" x14ac:dyDescent="0.25">
      <c r="A683" t="s">
        <v>625</v>
      </c>
      <c r="B683" t="s">
        <v>626</v>
      </c>
      <c r="C683" t="s">
        <v>627</v>
      </c>
      <c r="D683" t="s">
        <v>20</v>
      </c>
      <c r="E683" t="s">
        <v>48</v>
      </c>
      <c r="H683" t="s">
        <v>54</v>
      </c>
      <c r="J683" t="s">
        <v>621</v>
      </c>
      <c r="K683" t="s">
        <v>622</v>
      </c>
      <c r="P683">
        <f>COUNTIFS(keyword_comparison[record_identifier],keyword_comparison[[#This Row],[record_identifier]],keyword_comparison[Review],"&lt;&gt;")</f>
        <v>0</v>
      </c>
      <c r="Q683" cm="1">
        <f t="array" ref="Q683">SUMPRODUCT((keyword_comparison[record_identifier]=keyword_comparison[[#This Row],[record_identifier]])*(LEN(keyword_comparison[keyword_matcher_output])&gt;0))</f>
        <v>2</v>
      </c>
    </row>
    <row r="684" spans="1:17" x14ac:dyDescent="0.25">
      <c r="A684" t="s">
        <v>625</v>
      </c>
      <c r="B684" t="s">
        <v>626</v>
      </c>
      <c r="C684" t="s">
        <v>627</v>
      </c>
      <c r="D684" t="s">
        <v>20</v>
      </c>
      <c r="E684" t="s">
        <v>48</v>
      </c>
      <c r="H684" t="s">
        <v>54</v>
      </c>
      <c r="J684" t="s">
        <v>609</v>
      </c>
      <c r="K684" t="s">
        <v>610</v>
      </c>
      <c r="P684">
        <f>COUNTIFS(keyword_comparison[record_identifier],keyword_comparison[[#This Row],[record_identifier]],keyword_comparison[Review],"&lt;&gt;")</f>
        <v>0</v>
      </c>
      <c r="Q684" cm="1">
        <f t="array" ref="Q684">SUMPRODUCT((keyword_comparison[record_identifier]=keyword_comparison[[#This Row],[record_identifier]])*(LEN(keyword_comparison[keyword_matcher_output])&gt;0))</f>
        <v>2</v>
      </c>
    </row>
    <row r="685" spans="1:17" x14ac:dyDescent="0.25">
      <c r="A685" t="s">
        <v>625</v>
      </c>
      <c r="B685" t="s">
        <v>626</v>
      </c>
      <c r="C685" t="s">
        <v>627</v>
      </c>
      <c r="D685" t="s">
        <v>20</v>
      </c>
      <c r="E685" t="s">
        <v>48</v>
      </c>
      <c r="H685" t="s">
        <v>54</v>
      </c>
      <c r="J685" t="s">
        <v>629</v>
      </c>
      <c r="K685" t="s">
        <v>259</v>
      </c>
      <c r="P685">
        <f>COUNTIFS(keyword_comparison[record_identifier],keyword_comparison[[#This Row],[record_identifier]],keyword_comparison[Review],"&lt;&gt;")</f>
        <v>0</v>
      </c>
      <c r="Q685" cm="1">
        <f t="array" ref="Q685">SUMPRODUCT((keyword_comparison[record_identifier]=keyword_comparison[[#This Row],[record_identifier]])*(LEN(keyword_comparison[keyword_matcher_output])&gt;0))</f>
        <v>2</v>
      </c>
    </row>
    <row r="686" spans="1:17" x14ac:dyDescent="0.25">
      <c r="A686" t="s">
        <v>625</v>
      </c>
      <c r="B686" t="s">
        <v>626</v>
      </c>
      <c r="C686" t="s">
        <v>627</v>
      </c>
      <c r="D686" t="s">
        <v>20</v>
      </c>
      <c r="E686" t="s">
        <v>48</v>
      </c>
      <c r="H686" t="s">
        <v>54</v>
      </c>
      <c r="J686" t="s">
        <v>634</v>
      </c>
      <c r="K686" t="s">
        <v>635</v>
      </c>
      <c r="P686">
        <f>COUNTIFS(keyword_comparison[record_identifier],keyword_comparison[[#This Row],[record_identifier]],keyword_comparison[Review],"&lt;&gt;")</f>
        <v>0</v>
      </c>
      <c r="Q686" cm="1">
        <f t="array" ref="Q686">SUMPRODUCT((keyword_comparison[record_identifier]=keyword_comparison[[#This Row],[record_identifier]])*(LEN(keyword_comparison[keyword_matcher_output])&gt;0))</f>
        <v>2</v>
      </c>
    </row>
    <row r="687" spans="1:17" x14ac:dyDescent="0.25">
      <c r="A687" t="s">
        <v>625</v>
      </c>
      <c r="B687" t="s">
        <v>626</v>
      </c>
      <c r="C687" t="s">
        <v>627</v>
      </c>
      <c r="D687" t="s">
        <v>20</v>
      </c>
      <c r="E687" t="s">
        <v>48</v>
      </c>
      <c r="H687" t="s">
        <v>54</v>
      </c>
      <c r="J687" t="s">
        <v>642</v>
      </c>
      <c r="K687" t="s">
        <v>622</v>
      </c>
      <c r="P687">
        <f>COUNTIFS(keyword_comparison[record_identifier],keyword_comparison[[#This Row],[record_identifier]],keyword_comparison[Review],"&lt;&gt;")</f>
        <v>0</v>
      </c>
      <c r="Q687" cm="1">
        <f t="array" ref="Q687">SUMPRODUCT((keyword_comparison[record_identifier]=keyword_comparison[[#This Row],[record_identifier]])*(LEN(keyword_comparison[keyword_matcher_output])&gt;0))</f>
        <v>2</v>
      </c>
    </row>
    <row r="688" spans="1:17" x14ac:dyDescent="0.25">
      <c r="A688" t="s">
        <v>625</v>
      </c>
      <c r="B688" t="s">
        <v>626</v>
      </c>
      <c r="C688" t="s">
        <v>627</v>
      </c>
      <c r="D688" t="s">
        <v>20</v>
      </c>
      <c r="E688" t="s">
        <v>48</v>
      </c>
      <c r="H688" t="s">
        <v>54</v>
      </c>
      <c r="J688" t="s">
        <v>84</v>
      </c>
      <c r="K688" t="s">
        <v>85</v>
      </c>
      <c r="P688">
        <f>COUNTIFS(keyword_comparison[record_identifier],keyword_comparison[[#This Row],[record_identifier]],keyword_comparison[Review],"&lt;&gt;")</f>
        <v>0</v>
      </c>
      <c r="Q688" cm="1">
        <f t="array" ref="Q688">SUMPRODUCT((keyword_comparison[record_identifier]=keyword_comparison[[#This Row],[record_identifier]])*(LEN(keyword_comparison[keyword_matcher_output])&gt;0))</f>
        <v>2</v>
      </c>
    </row>
    <row r="689" spans="1:17" x14ac:dyDescent="0.25">
      <c r="A689" t="s">
        <v>625</v>
      </c>
      <c r="B689" t="s">
        <v>626</v>
      </c>
      <c r="C689" t="s">
        <v>627</v>
      </c>
      <c r="D689" t="s">
        <v>20</v>
      </c>
      <c r="E689" t="s">
        <v>48</v>
      </c>
      <c r="H689" t="s">
        <v>54</v>
      </c>
      <c r="J689" t="s">
        <v>643</v>
      </c>
      <c r="K689" t="s">
        <v>644</v>
      </c>
      <c r="P689">
        <f>COUNTIFS(keyword_comparison[record_identifier],keyword_comparison[[#This Row],[record_identifier]],keyword_comparison[Review],"&lt;&gt;")</f>
        <v>0</v>
      </c>
      <c r="Q689" cm="1">
        <f t="array" ref="Q689">SUMPRODUCT((keyword_comparison[record_identifier]=keyword_comparison[[#This Row],[record_identifier]])*(LEN(keyword_comparison[keyword_matcher_output])&gt;0))</f>
        <v>2</v>
      </c>
    </row>
    <row r="690" spans="1:17" x14ac:dyDescent="0.25">
      <c r="A690" t="s">
        <v>625</v>
      </c>
      <c r="B690" t="s">
        <v>626</v>
      </c>
      <c r="C690" t="s">
        <v>627</v>
      </c>
      <c r="D690" t="s">
        <v>20</v>
      </c>
      <c r="E690" t="s">
        <v>48</v>
      </c>
      <c r="H690" t="s">
        <v>54</v>
      </c>
      <c r="J690" t="s">
        <v>643</v>
      </c>
      <c r="K690" t="s">
        <v>645</v>
      </c>
      <c r="P690">
        <f>COUNTIFS(keyword_comparison[record_identifier],keyword_comparison[[#This Row],[record_identifier]],keyword_comparison[Review],"&lt;&gt;")</f>
        <v>0</v>
      </c>
      <c r="Q690" cm="1">
        <f t="array" ref="Q690">SUMPRODUCT((keyword_comparison[record_identifier]=keyword_comparison[[#This Row],[record_identifier]])*(LEN(keyword_comparison[keyword_matcher_output])&gt;0))</f>
        <v>2</v>
      </c>
    </row>
    <row r="691" spans="1:17" x14ac:dyDescent="0.25">
      <c r="A691" t="s">
        <v>625</v>
      </c>
      <c r="B691" t="s">
        <v>626</v>
      </c>
      <c r="C691" t="s">
        <v>627</v>
      </c>
      <c r="D691" t="s">
        <v>20</v>
      </c>
      <c r="E691" t="s">
        <v>48</v>
      </c>
      <c r="H691" t="s">
        <v>54</v>
      </c>
      <c r="J691" t="s">
        <v>646</v>
      </c>
      <c r="K691" t="s">
        <v>644</v>
      </c>
      <c r="P691">
        <f>COUNTIFS(keyword_comparison[record_identifier],keyword_comparison[[#This Row],[record_identifier]],keyword_comparison[Review],"&lt;&gt;")</f>
        <v>0</v>
      </c>
      <c r="Q691" cm="1">
        <f t="array" ref="Q691">SUMPRODUCT((keyword_comparison[record_identifier]=keyword_comparison[[#This Row],[record_identifier]])*(LEN(keyword_comparison[keyword_matcher_output])&gt;0))</f>
        <v>2</v>
      </c>
    </row>
    <row r="692" spans="1:17" x14ac:dyDescent="0.25">
      <c r="A692" t="s">
        <v>625</v>
      </c>
      <c r="B692" t="s">
        <v>626</v>
      </c>
      <c r="C692" t="s">
        <v>627</v>
      </c>
      <c r="D692" t="s">
        <v>20</v>
      </c>
      <c r="E692" t="s">
        <v>48</v>
      </c>
      <c r="H692" t="s">
        <v>54</v>
      </c>
      <c r="J692" t="s">
        <v>646</v>
      </c>
      <c r="K692" t="s">
        <v>645</v>
      </c>
      <c r="P692">
        <f>COUNTIFS(keyword_comparison[record_identifier],keyword_comparison[[#This Row],[record_identifier]],keyword_comparison[Review],"&lt;&gt;")</f>
        <v>0</v>
      </c>
      <c r="Q692" cm="1">
        <f t="array" ref="Q692">SUMPRODUCT((keyword_comparison[record_identifier]=keyword_comparison[[#This Row],[record_identifier]])*(LEN(keyword_comparison[keyword_matcher_output])&gt;0))</f>
        <v>2</v>
      </c>
    </row>
    <row r="693" spans="1:17" x14ac:dyDescent="0.25">
      <c r="A693" t="s">
        <v>625</v>
      </c>
      <c r="B693" t="s">
        <v>626</v>
      </c>
      <c r="C693" t="s">
        <v>627</v>
      </c>
      <c r="D693" t="s">
        <v>20</v>
      </c>
      <c r="E693" t="s">
        <v>48</v>
      </c>
      <c r="H693" t="s">
        <v>54</v>
      </c>
      <c r="J693" t="s">
        <v>57</v>
      </c>
      <c r="K693" t="s">
        <v>58</v>
      </c>
      <c r="P693">
        <f>COUNTIFS(keyword_comparison[record_identifier],keyword_comparison[[#This Row],[record_identifier]],keyword_comparison[Review],"&lt;&gt;")</f>
        <v>0</v>
      </c>
      <c r="Q693" cm="1">
        <f t="array" ref="Q693">SUMPRODUCT((keyword_comparison[record_identifier]=keyword_comparison[[#This Row],[record_identifier]])*(LEN(keyword_comparison[keyword_matcher_output])&gt;0))</f>
        <v>2</v>
      </c>
    </row>
    <row r="694" spans="1:17" x14ac:dyDescent="0.25">
      <c r="A694" t="s">
        <v>625</v>
      </c>
      <c r="B694" t="s">
        <v>626</v>
      </c>
      <c r="C694" t="s">
        <v>627</v>
      </c>
      <c r="D694" t="s">
        <v>20</v>
      </c>
      <c r="E694" t="s">
        <v>53</v>
      </c>
      <c r="F694" t="s">
        <v>54</v>
      </c>
      <c r="G694" t="s">
        <v>54</v>
      </c>
      <c r="H694" t="s">
        <v>54</v>
      </c>
      <c r="J694" t="s">
        <v>621</v>
      </c>
      <c r="K694" t="s">
        <v>622</v>
      </c>
      <c r="O694">
        <v>1</v>
      </c>
      <c r="P694">
        <f>COUNTIFS(keyword_comparison[record_identifier],keyword_comparison[[#This Row],[record_identifier]],keyword_comparison[Review],"&lt;&gt;")</f>
        <v>0</v>
      </c>
      <c r="Q694" cm="1">
        <f t="array" ref="Q694">SUMPRODUCT((keyword_comparison[record_identifier]=keyword_comparison[[#This Row],[record_identifier]])*(LEN(keyword_comparison[keyword_matcher_output])&gt;0))</f>
        <v>2</v>
      </c>
    </row>
    <row r="695" spans="1:17" x14ac:dyDescent="0.25">
      <c r="A695" t="s">
        <v>625</v>
      </c>
      <c r="B695" t="s">
        <v>626</v>
      </c>
      <c r="C695" t="s">
        <v>627</v>
      </c>
      <c r="D695" t="s">
        <v>20</v>
      </c>
      <c r="E695" t="s">
        <v>53</v>
      </c>
      <c r="F695" t="s">
        <v>54</v>
      </c>
      <c r="G695" t="s">
        <v>54</v>
      </c>
      <c r="H695" t="s">
        <v>54</v>
      </c>
      <c r="J695" t="s">
        <v>609</v>
      </c>
      <c r="K695" t="s">
        <v>610</v>
      </c>
      <c r="O695">
        <v>3</v>
      </c>
      <c r="P695">
        <f>COUNTIFS(keyword_comparison[record_identifier],keyword_comparison[[#This Row],[record_identifier]],keyword_comparison[Review],"&lt;&gt;")</f>
        <v>0</v>
      </c>
      <c r="Q695" cm="1">
        <f t="array" ref="Q695">SUMPRODUCT((keyword_comparison[record_identifier]=keyword_comparison[[#This Row],[record_identifier]])*(LEN(keyword_comparison[keyword_matcher_output])&gt;0))</f>
        <v>2</v>
      </c>
    </row>
    <row r="696" spans="1:17" x14ac:dyDescent="0.25">
      <c r="A696" t="s">
        <v>625</v>
      </c>
      <c r="B696" t="s">
        <v>626</v>
      </c>
      <c r="C696" t="s">
        <v>627</v>
      </c>
      <c r="D696" t="s">
        <v>20</v>
      </c>
      <c r="E696" t="s">
        <v>53</v>
      </c>
      <c r="F696" t="s">
        <v>54</v>
      </c>
      <c r="G696" t="s">
        <v>54</v>
      </c>
      <c r="H696" t="s">
        <v>54</v>
      </c>
      <c r="J696" t="s">
        <v>57</v>
      </c>
      <c r="K696" t="s">
        <v>58</v>
      </c>
      <c r="O696">
        <v>4</v>
      </c>
      <c r="P696">
        <f>COUNTIFS(keyword_comparison[record_identifier],keyword_comparison[[#This Row],[record_identifier]],keyword_comparison[Review],"&lt;&gt;")</f>
        <v>0</v>
      </c>
      <c r="Q696" cm="1">
        <f t="array" ref="Q696">SUMPRODUCT((keyword_comparison[record_identifier]=keyword_comparison[[#This Row],[record_identifier]])*(LEN(keyword_comparison[keyword_matcher_output])&gt;0))</f>
        <v>2</v>
      </c>
    </row>
    <row r="697" spans="1:17" x14ac:dyDescent="0.25">
      <c r="A697" t="s">
        <v>625</v>
      </c>
      <c r="B697" t="s">
        <v>626</v>
      </c>
      <c r="C697" t="s">
        <v>627</v>
      </c>
      <c r="D697" t="s">
        <v>20</v>
      </c>
      <c r="E697" t="s">
        <v>53</v>
      </c>
      <c r="F697" t="s">
        <v>54</v>
      </c>
      <c r="G697" t="s">
        <v>54</v>
      </c>
      <c r="H697" t="s">
        <v>54</v>
      </c>
      <c r="J697" t="s">
        <v>643</v>
      </c>
      <c r="K697" t="s">
        <v>644</v>
      </c>
      <c r="O697">
        <v>5</v>
      </c>
      <c r="P697">
        <f>COUNTIFS(keyword_comparison[record_identifier],keyword_comparison[[#This Row],[record_identifier]],keyword_comparison[Review],"&lt;&gt;")</f>
        <v>0</v>
      </c>
      <c r="Q697" cm="1">
        <f t="array" ref="Q697">SUMPRODUCT((keyword_comparison[record_identifier]=keyword_comparison[[#This Row],[record_identifier]])*(LEN(keyword_comparison[keyword_matcher_output])&gt;0))</f>
        <v>2</v>
      </c>
    </row>
    <row r="698" spans="1:17" x14ac:dyDescent="0.25">
      <c r="A698" t="s">
        <v>625</v>
      </c>
      <c r="B698" t="s">
        <v>626</v>
      </c>
      <c r="C698" t="s">
        <v>627</v>
      </c>
      <c r="D698" t="s">
        <v>20</v>
      </c>
      <c r="E698" t="s">
        <v>53</v>
      </c>
      <c r="F698" t="s">
        <v>54</v>
      </c>
      <c r="G698" t="s">
        <v>54</v>
      </c>
      <c r="H698" t="s">
        <v>54</v>
      </c>
      <c r="J698" t="s">
        <v>643</v>
      </c>
      <c r="K698" t="s">
        <v>645</v>
      </c>
      <c r="O698">
        <v>5</v>
      </c>
      <c r="P698">
        <f>COUNTIFS(keyword_comparison[record_identifier],keyword_comparison[[#This Row],[record_identifier]],keyword_comparison[Review],"&lt;&gt;")</f>
        <v>0</v>
      </c>
      <c r="Q698" cm="1">
        <f t="array" ref="Q698">SUMPRODUCT((keyword_comparison[record_identifier]=keyword_comparison[[#This Row],[record_identifier]])*(LEN(keyword_comparison[keyword_matcher_output])&gt;0))</f>
        <v>2</v>
      </c>
    </row>
    <row r="699" spans="1:17" x14ac:dyDescent="0.25">
      <c r="A699" t="s">
        <v>625</v>
      </c>
      <c r="B699" t="s">
        <v>626</v>
      </c>
      <c r="C699" t="s">
        <v>627</v>
      </c>
      <c r="D699" t="s">
        <v>20</v>
      </c>
      <c r="E699" t="s">
        <v>53</v>
      </c>
      <c r="F699" t="s">
        <v>54</v>
      </c>
      <c r="G699" t="s">
        <v>54</v>
      </c>
      <c r="H699" t="s">
        <v>54</v>
      </c>
      <c r="J699" t="s">
        <v>647</v>
      </c>
      <c r="K699" t="s">
        <v>648</v>
      </c>
      <c r="O699">
        <v>7</v>
      </c>
      <c r="P699">
        <f>COUNTIFS(keyword_comparison[record_identifier],keyword_comparison[[#This Row],[record_identifier]],keyword_comparison[Review],"&lt;&gt;")</f>
        <v>0</v>
      </c>
      <c r="Q699" cm="1">
        <f t="array" ref="Q699">SUMPRODUCT((keyword_comparison[record_identifier]=keyword_comparison[[#This Row],[record_identifier]])*(LEN(keyword_comparison[keyword_matcher_output])&gt;0))</f>
        <v>2</v>
      </c>
    </row>
    <row r="700" spans="1:17" x14ac:dyDescent="0.25">
      <c r="A700" t="s">
        <v>625</v>
      </c>
      <c r="B700" t="s">
        <v>626</v>
      </c>
      <c r="C700" t="s">
        <v>627</v>
      </c>
      <c r="D700" t="s">
        <v>20</v>
      </c>
      <c r="E700" t="s">
        <v>53</v>
      </c>
      <c r="F700" t="s">
        <v>54</v>
      </c>
      <c r="G700" t="s">
        <v>54</v>
      </c>
      <c r="H700" t="s">
        <v>54</v>
      </c>
      <c r="J700" t="s">
        <v>649</v>
      </c>
      <c r="K700" t="s">
        <v>650</v>
      </c>
      <c r="O700">
        <v>8</v>
      </c>
      <c r="P700">
        <f>COUNTIFS(keyword_comparison[record_identifier],keyword_comparison[[#This Row],[record_identifier]],keyword_comparison[Review],"&lt;&gt;")</f>
        <v>0</v>
      </c>
      <c r="Q700" cm="1">
        <f t="array" ref="Q700">SUMPRODUCT((keyword_comparison[record_identifier]=keyword_comparison[[#This Row],[record_identifier]])*(LEN(keyword_comparison[keyword_matcher_output])&gt;0))</f>
        <v>2</v>
      </c>
    </row>
    <row r="701" spans="1:17" x14ac:dyDescent="0.25">
      <c r="A701" t="s">
        <v>625</v>
      </c>
      <c r="B701" t="s">
        <v>626</v>
      </c>
      <c r="C701" t="s">
        <v>627</v>
      </c>
      <c r="D701" t="s">
        <v>20</v>
      </c>
      <c r="E701" t="s">
        <v>53</v>
      </c>
      <c r="F701" t="s">
        <v>54</v>
      </c>
      <c r="G701" t="s">
        <v>54</v>
      </c>
      <c r="H701" t="s">
        <v>54</v>
      </c>
      <c r="J701" t="s">
        <v>42</v>
      </c>
      <c r="K701" t="s">
        <v>43</v>
      </c>
      <c r="O701">
        <v>9</v>
      </c>
      <c r="P701">
        <f>COUNTIFS(keyword_comparison[record_identifier],keyword_comparison[[#This Row],[record_identifier]],keyword_comparison[Review],"&lt;&gt;")</f>
        <v>0</v>
      </c>
      <c r="Q701" cm="1">
        <f t="array" ref="Q701">SUMPRODUCT((keyword_comparison[record_identifier]=keyword_comparison[[#This Row],[record_identifier]])*(LEN(keyword_comparison[keyword_matcher_output])&gt;0))</f>
        <v>2</v>
      </c>
    </row>
    <row r="702" spans="1:17" x14ac:dyDescent="0.25">
      <c r="A702" t="s">
        <v>625</v>
      </c>
      <c r="B702" t="s">
        <v>626</v>
      </c>
      <c r="C702" t="s">
        <v>627</v>
      </c>
      <c r="D702" t="s">
        <v>20</v>
      </c>
      <c r="E702" t="s">
        <v>53</v>
      </c>
      <c r="F702" t="s">
        <v>54</v>
      </c>
      <c r="G702" t="s">
        <v>54</v>
      </c>
      <c r="H702" t="s">
        <v>54</v>
      </c>
      <c r="J702" t="s">
        <v>651</v>
      </c>
      <c r="K702" t="s">
        <v>652</v>
      </c>
      <c r="O702">
        <v>10</v>
      </c>
      <c r="P702">
        <f>COUNTIFS(keyword_comparison[record_identifier],keyword_comparison[[#This Row],[record_identifier]],keyword_comparison[Review],"&lt;&gt;")</f>
        <v>0</v>
      </c>
      <c r="Q702" cm="1">
        <f t="array" ref="Q702">SUMPRODUCT((keyword_comparison[record_identifier]=keyword_comparison[[#This Row],[record_identifier]])*(LEN(keyword_comparison[keyword_matcher_output])&gt;0))</f>
        <v>2</v>
      </c>
    </row>
    <row r="703" spans="1:17" x14ac:dyDescent="0.25">
      <c r="A703" t="s">
        <v>653</v>
      </c>
      <c r="B703" t="s">
        <v>654</v>
      </c>
      <c r="C703" t="s">
        <v>655</v>
      </c>
      <c r="D703" t="s">
        <v>20</v>
      </c>
      <c r="E703" t="s">
        <v>21</v>
      </c>
      <c r="F703" t="s">
        <v>656</v>
      </c>
      <c r="G703" t="s">
        <v>23</v>
      </c>
      <c r="H703" t="s">
        <v>54</v>
      </c>
      <c r="P703">
        <f>COUNTIFS(keyword_comparison[record_identifier],keyword_comparison[[#This Row],[record_identifier]],keyword_comparison[Review],"&lt;&gt;")</f>
        <v>0</v>
      </c>
      <c r="Q703" cm="1">
        <f t="array" ref="Q703">SUMPRODUCT((keyword_comparison[record_identifier]=keyword_comparison[[#This Row],[record_identifier]])*(LEN(keyword_comparison[keyword_matcher_output])&gt;0))</f>
        <v>0</v>
      </c>
    </row>
    <row r="704" spans="1:17" x14ac:dyDescent="0.25">
      <c r="A704" t="s">
        <v>653</v>
      </c>
      <c r="B704" t="s">
        <v>654</v>
      </c>
      <c r="C704" t="s">
        <v>655</v>
      </c>
      <c r="D704" t="s">
        <v>20</v>
      </c>
      <c r="E704" t="s">
        <v>53</v>
      </c>
      <c r="F704" t="s">
        <v>54</v>
      </c>
      <c r="G704" t="s">
        <v>54</v>
      </c>
      <c r="H704" t="s">
        <v>54</v>
      </c>
      <c r="J704" t="s">
        <v>558</v>
      </c>
      <c r="K704" t="s">
        <v>559</v>
      </c>
      <c r="O704">
        <v>1</v>
      </c>
      <c r="P704">
        <f>COUNTIFS(keyword_comparison[record_identifier],keyword_comparison[[#This Row],[record_identifier]],keyword_comparison[Review],"&lt;&gt;")</f>
        <v>0</v>
      </c>
      <c r="Q704" cm="1">
        <f t="array" ref="Q704">SUMPRODUCT((keyword_comparison[record_identifier]=keyword_comparison[[#This Row],[record_identifier]])*(LEN(keyword_comparison[keyword_matcher_output])&gt;0))</f>
        <v>0</v>
      </c>
    </row>
    <row r="705" spans="1:17" x14ac:dyDescent="0.25">
      <c r="A705" t="s">
        <v>653</v>
      </c>
      <c r="B705" t="s">
        <v>654</v>
      </c>
      <c r="C705" t="s">
        <v>655</v>
      </c>
      <c r="D705" t="s">
        <v>20</v>
      </c>
      <c r="E705" t="s">
        <v>53</v>
      </c>
      <c r="F705" t="s">
        <v>54</v>
      </c>
      <c r="G705" t="s">
        <v>54</v>
      </c>
      <c r="H705" t="s">
        <v>54</v>
      </c>
      <c r="J705" t="s">
        <v>657</v>
      </c>
      <c r="K705" t="s">
        <v>658</v>
      </c>
      <c r="O705">
        <v>2</v>
      </c>
      <c r="P705">
        <f>COUNTIFS(keyword_comparison[record_identifier],keyword_comparison[[#This Row],[record_identifier]],keyword_comparison[Review],"&lt;&gt;")</f>
        <v>0</v>
      </c>
      <c r="Q705" cm="1">
        <f t="array" ref="Q705">SUMPRODUCT((keyword_comparison[record_identifier]=keyword_comparison[[#This Row],[record_identifier]])*(LEN(keyword_comparison[keyword_matcher_output])&gt;0))</f>
        <v>0</v>
      </c>
    </row>
    <row r="706" spans="1:17" x14ac:dyDescent="0.25">
      <c r="A706" t="s">
        <v>653</v>
      </c>
      <c r="B706" t="s">
        <v>654</v>
      </c>
      <c r="C706" t="s">
        <v>655</v>
      </c>
      <c r="D706" t="s">
        <v>20</v>
      </c>
      <c r="E706" t="s">
        <v>53</v>
      </c>
      <c r="F706" t="s">
        <v>54</v>
      </c>
      <c r="G706" t="s">
        <v>54</v>
      </c>
      <c r="H706" t="s">
        <v>54</v>
      </c>
      <c r="J706" t="s">
        <v>659</v>
      </c>
      <c r="K706" t="s">
        <v>660</v>
      </c>
      <c r="O706">
        <v>3</v>
      </c>
      <c r="P706">
        <f>COUNTIFS(keyword_comparison[record_identifier],keyword_comparison[[#This Row],[record_identifier]],keyword_comparison[Review],"&lt;&gt;")</f>
        <v>0</v>
      </c>
      <c r="Q706" cm="1">
        <f t="array" ref="Q706">SUMPRODUCT((keyword_comparison[record_identifier]=keyword_comparison[[#This Row],[record_identifier]])*(LEN(keyword_comparison[keyword_matcher_output])&gt;0))</f>
        <v>0</v>
      </c>
    </row>
    <row r="707" spans="1:17" x14ac:dyDescent="0.25">
      <c r="A707" t="s">
        <v>653</v>
      </c>
      <c r="B707" t="s">
        <v>654</v>
      </c>
      <c r="C707" t="s">
        <v>655</v>
      </c>
      <c r="D707" t="s">
        <v>20</v>
      </c>
      <c r="E707" t="s">
        <v>53</v>
      </c>
      <c r="F707" t="s">
        <v>54</v>
      </c>
      <c r="G707" t="s">
        <v>54</v>
      </c>
      <c r="H707" t="s">
        <v>54</v>
      </c>
      <c r="J707" t="s">
        <v>661</v>
      </c>
      <c r="K707" t="s">
        <v>662</v>
      </c>
      <c r="O707">
        <v>4</v>
      </c>
      <c r="P707">
        <f>COUNTIFS(keyword_comparison[record_identifier],keyword_comparison[[#This Row],[record_identifier]],keyword_comparison[Review],"&lt;&gt;")</f>
        <v>0</v>
      </c>
      <c r="Q707" cm="1">
        <f t="array" ref="Q707">SUMPRODUCT((keyword_comparison[record_identifier]=keyword_comparison[[#This Row],[record_identifier]])*(LEN(keyword_comparison[keyword_matcher_output])&gt;0))</f>
        <v>0</v>
      </c>
    </row>
    <row r="708" spans="1:17" x14ac:dyDescent="0.25">
      <c r="A708" t="s">
        <v>653</v>
      </c>
      <c r="B708" t="s">
        <v>654</v>
      </c>
      <c r="C708" t="s">
        <v>655</v>
      </c>
      <c r="D708" t="s">
        <v>20</v>
      </c>
      <c r="E708" t="s">
        <v>53</v>
      </c>
      <c r="F708" t="s">
        <v>54</v>
      </c>
      <c r="G708" t="s">
        <v>54</v>
      </c>
      <c r="H708" t="s">
        <v>54</v>
      </c>
      <c r="J708" t="s">
        <v>449</v>
      </c>
      <c r="K708" t="s">
        <v>450</v>
      </c>
      <c r="O708">
        <v>5</v>
      </c>
      <c r="P708">
        <f>COUNTIFS(keyword_comparison[record_identifier],keyword_comparison[[#This Row],[record_identifier]],keyword_comparison[Review],"&lt;&gt;")</f>
        <v>0</v>
      </c>
      <c r="Q708" cm="1">
        <f t="array" ref="Q708">SUMPRODUCT((keyword_comparison[record_identifier]=keyword_comparison[[#This Row],[record_identifier]])*(LEN(keyword_comparison[keyword_matcher_output])&gt;0))</f>
        <v>0</v>
      </c>
    </row>
    <row r="709" spans="1:17" x14ac:dyDescent="0.25">
      <c r="A709" t="s">
        <v>653</v>
      </c>
      <c r="B709" t="s">
        <v>654</v>
      </c>
      <c r="C709" t="s">
        <v>655</v>
      </c>
      <c r="D709" t="s">
        <v>20</v>
      </c>
      <c r="E709" t="s">
        <v>53</v>
      </c>
      <c r="F709" t="s">
        <v>54</v>
      </c>
      <c r="G709" t="s">
        <v>54</v>
      </c>
      <c r="H709" t="s">
        <v>54</v>
      </c>
      <c r="J709" t="s">
        <v>500</v>
      </c>
      <c r="K709" t="s">
        <v>501</v>
      </c>
      <c r="O709">
        <v>6</v>
      </c>
      <c r="P709">
        <f>COUNTIFS(keyword_comparison[record_identifier],keyword_comparison[[#This Row],[record_identifier]],keyword_comparison[Review],"&lt;&gt;")</f>
        <v>0</v>
      </c>
      <c r="Q709" cm="1">
        <f t="array" ref="Q709">SUMPRODUCT((keyword_comparison[record_identifier]=keyword_comparison[[#This Row],[record_identifier]])*(LEN(keyword_comparison[keyword_matcher_output])&gt;0))</f>
        <v>0</v>
      </c>
    </row>
    <row r="710" spans="1:17" x14ac:dyDescent="0.25">
      <c r="A710" t="s">
        <v>653</v>
      </c>
      <c r="B710" t="s">
        <v>654</v>
      </c>
      <c r="C710" t="s">
        <v>655</v>
      </c>
      <c r="D710" t="s">
        <v>20</v>
      </c>
      <c r="E710" t="s">
        <v>53</v>
      </c>
      <c r="F710" t="s">
        <v>54</v>
      </c>
      <c r="G710" t="s">
        <v>54</v>
      </c>
      <c r="H710" t="s">
        <v>54</v>
      </c>
      <c r="J710" t="s">
        <v>663</v>
      </c>
      <c r="K710" t="s">
        <v>664</v>
      </c>
      <c r="O710">
        <v>7</v>
      </c>
      <c r="P710">
        <f>COUNTIFS(keyword_comparison[record_identifier],keyword_comparison[[#This Row],[record_identifier]],keyword_comparison[Review],"&lt;&gt;")</f>
        <v>0</v>
      </c>
      <c r="Q710" cm="1">
        <f t="array" ref="Q710">SUMPRODUCT((keyword_comparison[record_identifier]=keyword_comparison[[#This Row],[record_identifier]])*(LEN(keyword_comparison[keyword_matcher_output])&gt;0))</f>
        <v>0</v>
      </c>
    </row>
    <row r="711" spans="1:17" x14ac:dyDescent="0.25">
      <c r="A711" t="s">
        <v>653</v>
      </c>
      <c r="B711" t="s">
        <v>654</v>
      </c>
      <c r="C711" t="s">
        <v>655</v>
      </c>
      <c r="D711" t="s">
        <v>20</v>
      </c>
      <c r="E711" t="s">
        <v>53</v>
      </c>
      <c r="F711" t="s">
        <v>54</v>
      </c>
      <c r="G711" t="s">
        <v>54</v>
      </c>
      <c r="H711" t="s">
        <v>54</v>
      </c>
      <c r="J711" t="s">
        <v>665</v>
      </c>
      <c r="K711" t="s">
        <v>666</v>
      </c>
      <c r="O711">
        <v>8</v>
      </c>
      <c r="P711">
        <f>COUNTIFS(keyword_comparison[record_identifier],keyword_comparison[[#This Row],[record_identifier]],keyword_comparison[Review],"&lt;&gt;")</f>
        <v>0</v>
      </c>
      <c r="Q711" cm="1">
        <f t="array" ref="Q711">SUMPRODUCT((keyword_comparison[record_identifier]=keyword_comparison[[#This Row],[record_identifier]])*(LEN(keyword_comparison[keyword_matcher_output])&gt;0))</f>
        <v>0</v>
      </c>
    </row>
    <row r="712" spans="1:17" x14ac:dyDescent="0.25">
      <c r="A712" t="s">
        <v>653</v>
      </c>
      <c r="B712" t="s">
        <v>654</v>
      </c>
      <c r="C712" t="s">
        <v>655</v>
      </c>
      <c r="D712" t="s">
        <v>20</v>
      </c>
      <c r="E712" t="s">
        <v>53</v>
      </c>
      <c r="F712" t="s">
        <v>54</v>
      </c>
      <c r="G712" t="s">
        <v>54</v>
      </c>
      <c r="H712" t="s">
        <v>54</v>
      </c>
      <c r="J712" t="s">
        <v>667</v>
      </c>
      <c r="K712" t="s">
        <v>668</v>
      </c>
      <c r="O712">
        <v>9</v>
      </c>
      <c r="P712">
        <f>COUNTIFS(keyword_comparison[record_identifier],keyword_comparison[[#This Row],[record_identifier]],keyword_comparison[Review],"&lt;&gt;")</f>
        <v>0</v>
      </c>
      <c r="Q712" cm="1">
        <f t="array" ref="Q712">SUMPRODUCT((keyword_comparison[record_identifier]=keyword_comparison[[#This Row],[record_identifier]])*(LEN(keyword_comparison[keyword_matcher_output])&gt;0))</f>
        <v>0</v>
      </c>
    </row>
    <row r="713" spans="1:17" x14ac:dyDescent="0.25">
      <c r="A713" t="s">
        <v>653</v>
      </c>
      <c r="B713" t="s">
        <v>654</v>
      </c>
      <c r="C713" t="s">
        <v>655</v>
      </c>
      <c r="D713" t="s">
        <v>20</v>
      </c>
      <c r="E713" t="s">
        <v>53</v>
      </c>
      <c r="F713" t="s">
        <v>54</v>
      </c>
      <c r="G713" t="s">
        <v>54</v>
      </c>
      <c r="H713" t="s">
        <v>54</v>
      </c>
      <c r="J713" t="s">
        <v>44</v>
      </c>
      <c r="K713" t="s">
        <v>45</v>
      </c>
      <c r="O713">
        <v>10</v>
      </c>
      <c r="P713">
        <f>COUNTIFS(keyword_comparison[record_identifier],keyword_comparison[[#This Row],[record_identifier]],keyword_comparison[Review],"&lt;&gt;")</f>
        <v>0</v>
      </c>
      <c r="Q713" cm="1">
        <f t="array" ref="Q713">SUMPRODUCT((keyword_comparison[record_identifier]=keyword_comparison[[#This Row],[record_identifier]])*(LEN(keyword_comparison[keyword_matcher_output])&gt;0))</f>
        <v>0</v>
      </c>
    </row>
    <row r="714" spans="1:17" x14ac:dyDescent="0.25">
      <c r="A714" t="s">
        <v>669</v>
      </c>
      <c r="B714" t="s">
        <v>670</v>
      </c>
      <c r="C714" t="s">
        <v>671</v>
      </c>
      <c r="D714" t="s">
        <v>20</v>
      </c>
      <c r="E714" t="s">
        <v>21</v>
      </c>
      <c r="F714" t="s">
        <v>216</v>
      </c>
      <c r="G714" t="s">
        <v>72</v>
      </c>
      <c r="H714" t="s">
        <v>54</v>
      </c>
      <c r="P714">
        <f>COUNTIFS(keyword_comparison[record_identifier],keyword_comparison[[#This Row],[record_identifier]],keyword_comparison[Review],"&lt;&gt;")</f>
        <v>0</v>
      </c>
      <c r="Q714" cm="1">
        <f t="array" ref="Q714">SUMPRODUCT((keyword_comparison[record_identifier]=keyword_comparison[[#This Row],[record_identifier]])*(LEN(keyword_comparison[keyword_matcher_output])&gt;0))</f>
        <v>0</v>
      </c>
    </row>
    <row r="715" spans="1:17" x14ac:dyDescent="0.25">
      <c r="A715" t="s">
        <v>669</v>
      </c>
      <c r="B715" t="s">
        <v>670</v>
      </c>
      <c r="C715" t="s">
        <v>671</v>
      </c>
      <c r="D715" t="s">
        <v>20</v>
      </c>
      <c r="E715" t="s">
        <v>21</v>
      </c>
      <c r="F715" t="s">
        <v>71</v>
      </c>
      <c r="G715" t="s">
        <v>72</v>
      </c>
      <c r="H715" t="s">
        <v>54</v>
      </c>
      <c r="P715">
        <f>COUNTIFS(keyword_comparison[record_identifier],keyword_comparison[[#This Row],[record_identifier]],keyword_comparison[Review],"&lt;&gt;")</f>
        <v>0</v>
      </c>
      <c r="Q715" cm="1">
        <f t="array" ref="Q715">SUMPRODUCT((keyword_comparison[record_identifier]=keyword_comparison[[#This Row],[record_identifier]])*(LEN(keyword_comparison[keyword_matcher_output])&gt;0))</f>
        <v>0</v>
      </c>
    </row>
    <row r="716" spans="1:17" x14ac:dyDescent="0.25">
      <c r="A716" t="s">
        <v>669</v>
      </c>
      <c r="B716" t="s">
        <v>670</v>
      </c>
      <c r="C716" t="s">
        <v>671</v>
      </c>
      <c r="D716" t="s">
        <v>20</v>
      </c>
      <c r="E716" t="s">
        <v>21</v>
      </c>
      <c r="F716" t="s">
        <v>244</v>
      </c>
      <c r="G716" t="s">
        <v>72</v>
      </c>
      <c r="H716" t="s">
        <v>54</v>
      </c>
      <c r="P716">
        <f>COUNTIFS(keyword_comparison[record_identifier],keyword_comparison[[#This Row],[record_identifier]],keyword_comparison[Review],"&lt;&gt;")</f>
        <v>0</v>
      </c>
      <c r="Q716" cm="1">
        <f t="array" ref="Q716">SUMPRODUCT((keyword_comparison[record_identifier]=keyword_comparison[[#This Row],[record_identifier]])*(LEN(keyword_comparison[keyword_matcher_output])&gt;0))</f>
        <v>0</v>
      </c>
    </row>
    <row r="717" spans="1:17" x14ac:dyDescent="0.25">
      <c r="A717" t="s">
        <v>669</v>
      </c>
      <c r="B717" t="s">
        <v>670</v>
      </c>
      <c r="C717" t="s">
        <v>671</v>
      </c>
      <c r="D717" t="s">
        <v>20</v>
      </c>
      <c r="E717" t="s">
        <v>21</v>
      </c>
      <c r="F717" t="s">
        <v>32</v>
      </c>
      <c r="G717" t="s">
        <v>31</v>
      </c>
      <c r="H717" t="s">
        <v>54</v>
      </c>
      <c r="P717">
        <f>COUNTIFS(keyword_comparison[record_identifier],keyword_comparison[[#This Row],[record_identifier]],keyword_comparison[Review],"&lt;&gt;")</f>
        <v>0</v>
      </c>
      <c r="Q717" cm="1">
        <f t="array" ref="Q717">SUMPRODUCT((keyword_comparison[record_identifier]=keyword_comparison[[#This Row],[record_identifier]])*(LEN(keyword_comparison[keyword_matcher_output])&gt;0))</f>
        <v>0</v>
      </c>
    </row>
    <row r="718" spans="1:17" x14ac:dyDescent="0.25">
      <c r="A718" t="s">
        <v>669</v>
      </c>
      <c r="B718" t="s">
        <v>670</v>
      </c>
      <c r="C718" t="s">
        <v>671</v>
      </c>
      <c r="D718" t="s">
        <v>20</v>
      </c>
      <c r="E718" t="s">
        <v>21</v>
      </c>
      <c r="F718" t="s">
        <v>30</v>
      </c>
      <c r="G718" t="s">
        <v>31</v>
      </c>
      <c r="H718" t="s">
        <v>54</v>
      </c>
      <c r="P718">
        <f>COUNTIFS(keyword_comparison[record_identifier],keyword_comparison[[#This Row],[record_identifier]],keyword_comparison[Review],"&lt;&gt;")</f>
        <v>0</v>
      </c>
      <c r="Q718" cm="1">
        <f t="array" ref="Q718">SUMPRODUCT((keyword_comparison[record_identifier]=keyword_comparison[[#This Row],[record_identifier]])*(LEN(keyword_comparison[keyword_matcher_output])&gt;0))</f>
        <v>0</v>
      </c>
    </row>
    <row r="719" spans="1:17" x14ac:dyDescent="0.25">
      <c r="A719" t="s">
        <v>669</v>
      </c>
      <c r="B719" t="s">
        <v>670</v>
      </c>
      <c r="C719" t="s">
        <v>671</v>
      </c>
      <c r="D719" t="s">
        <v>20</v>
      </c>
      <c r="E719" t="s">
        <v>33</v>
      </c>
      <c r="H719" t="s">
        <v>54</v>
      </c>
      <c r="J719" t="s">
        <v>248</v>
      </c>
      <c r="K719" t="s">
        <v>249</v>
      </c>
      <c r="M719">
        <v>0.60599999999999998</v>
      </c>
      <c r="N719">
        <v>1</v>
      </c>
      <c r="P719">
        <f>COUNTIFS(keyword_comparison[record_identifier],keyword_comparison[[#This Row],[record_identifier]],keyword_comparison[Review],"&lt;&gt;")</f>
        <v>0</v>
      </c>
      <c r="Q719" cm="1">
        <f t="array" ref="Q719">SUMPRODUCT((keyword_comparison[record_identifier]=keyword_comparison[[#This Row],[record_identifier]])*(LEN(keyword_comparison[keyword_matcher_output])&gt;0))</f>
        <v>0</v>
      </c>
    </row>
    <row r="720" spans="1:17" x14ac:dyDescent="0.25">
      <c r="A720" t="s">
        <v>669</v>
      </c>
      <c r="B720" t="s">
        <v>670</v>
      </c>
      <c r="C720" t="s">
        <v>671</v>
      </c>
      <c r="D720" t="s">
        <v>20</v>
      </c>
      <c r="E720" t="s">
        <v>33</v>
      </c>
      <c r="H720" t="s">
        <v>54</v>
      </c>
      <c r="J720" t="s">
        <v>193</v>
      </c>
      <c r="K720" t="s">
        <v>194</v>
      </c>
      <c r="M720">
        <v>0.1082</v>
      </c>
      <c r="N720">
        <v>2</v>
      </c>
      <c r="P720">
        <f>COUNTIFS(keyword_comparison[record_identifier],keyword_comparison[[#This Row],[record_identifier]],keyword_comparison[Review],"&lt;&gt;")</f>
        <v>0</v>
      </c>
      <c r="Q720" cm="1">
        <f t="array" ref="Q720">SUMPRODUCT((keyword_comparison[record_identifier]=keyword_comparison[[#This Row],[record_identifier]])*(LEN(keyword_comparison[keyword_matcher_output])&gt;0))</f>
        <v>0</v>
      </c>
    </row>
    <row r="721" spans="1:17" x14ac:dyDescent="0.25">
      <c r="A721" t="s">
        <v>669</v>
      </c>
      <c r="B721" t="s">
        <v>670</v>
      </c>
      <c r="C721" t="s">
        <v>671</v>
      </c>
      <c r="D721" t="s">
        <v>20</v>
      </c>
      <c r="E721" t="s">
        <v>33</v>
      </c>
      <c r="H721" t="s">
        <v>54</v>
      </c>
      <c r="J721" t="s">
        <v>437</v>
      </c>
      <c r="K721" t="s">
        <v>438</v>
      </c>
      <c r="M721">
        <v>6.7100000000000007E-2</v>
      </c>
      <c r="N721">
        <v>3</v>
      </c>
      <c r="P721">
        <f>COUNTIFS(keyword_comparison[record_identifier],keyword_comparison[[#This Row],[record_identifier]],keyword_comparison[Review],"&lt;&gt;")</f>
        <v>0</v>
      </c>
      <c r="Q721" cm="1">
        <f t="array" ref="Q721">SUMPRODUCT((keyword_comparison[record_identifier]=keyword_comparison[[#This Row],[record_identifier]])*(LEN(keyword_comparison[keyword_matcher_output])&gt;0))</f>
        <v>0</v>
      </c>
    </row>
    <row r="722" spans="1:17" x14ac:dyDescent="0.25">
      <c r="A722" t="s">
        <v>669</v>
      </c>
      <c r="B722" t="s">
        <v>670</v>
      </c>
      <c r="C722" t="s">
        <v>671</v>
      </c>
      <c r="D722" t="s">
        <v>20</v>
      </c>
      <c r="E722" t="s">
        <v>48</v>
      </c>
      <c r="H722" t="s">
        <v>54</v>
      </c>
      <c r="J722" t="s">
        <v>248</v>
      </c>
      <c r="K722" t="s">
        <v>249</v>
      </c>
      <c r="P722">
        <f>COUNTIFS(keyword_comparison[record_identifier],keyword_comparison[[#This Row],[record_identifier]],keyword_comparison[Review],"&lt;&gt;")</f>
        <v>0</v>
      </c>
      <c r="Q722" cm="1">
        <f t="array" ref="Q722">SUMPRODUCT((keyword_comparison[record_identifier]=keyword_comparison[[#This Row],[record_identifier]])*(LEN(keyword_comparison[keyword_matcher_output])&gt;0))</f>
        <v>0</v>
      </c>
    </row>
    <row r="723" spans="1:17" x14ac:dyDescent="0.25">
      <c r="A723" t="s">
        <v>669</v>
      </c>
      <c r="B723" t="s">
        <v>670</v>
      </c>
      <c r="C723" t="s">
        <v>671</v>
      </c>
      <c r="D723" t="s">
        <v>20</v>
      </c>
      <c r="E723" t="s">
        <v>48</v>
      </c>
      <c r="H723" t="s">
        <v>54</v>
      </c>
      <c r="J723" t="s">
        <v>84</v>
      </c>
      <c r="K723" t="s">
        <v>85</v>
      </c>
      <c r="P723">
        <f>COUNTIFS(keyword_comparison[record_identifier],keyword_comparison[[#This Row],[record_identifier]],keyword_comparison[Review],"&lt;&gt;")</f>
        <v>0</v>
      </c>
      <c r="Q723" cm="1">
        <f t="array" ref="Q723">SUMPRODUCT((keyword_comparison[record_identifier]=keyword_comparison[[#This Row],[record_identifier]])*(LEN(keyword_comparison[keyword_matcher_output])&gt;0))</f>
        <v>0</v>
      </c>
    </row>
    <row r="724" spans="1:17" x14ac:dyDescent="0.25">
      <c r="A724" t="s">
        <v>669</v>
      </c>
      <c r="B724" t="s">
        <v>670</v>
      </c>
      <c r="C724" t="s">
        <v>671</v>
      </c>
      <c r="D724" t="s">
        <v>20</v>
      </c>
      <c r="E724" t="s">
        <v>53</v>
      </c>
      <c r="F724" t="s">
        <v>54</v>
      </c>
      <c r="G724" t="s">
        <v>54</v>
      </c>
      <c r="H724" t="s">
        <v>54</v>
      </c>
      <c r="J724" t="s">
        <v>248</v>
      </c>
      <c r="K724" t="s">
        <v>249</v>
      </c>
      <c r="O724">
        <v>1</v>
      </c>
      <c r="P724">
        <f>COUNTIFS(keyword_comparison[record_identifier],keyword_comparison[[#This Row],[record_identifier]],keyword_comparison[Review],"&lt;&gt;")</f>
        <v>0</v>
      </c>
      <c r="Q724" cm="1">
        <f t="array" ref="Q724">SUMPRODUCT((keyword_comparison[record_identifier]=keyword_comparison[[#This Row],[record_identifier]])*(LEN(keyword_comparison[keyword_matcher_output])&gt;0))</f>
        <v>0</v>
      </c>
    </row>
    <row r="725" spans="1:17" x14ac:dyDescent="0.25">
      <c r="A725" t="s">
        <v>669</v>
      </c>
      <c r="B725" t="s">
        <v>670</v>
      </c>
      <c r="C725" t="s">
        <v>671</v>
      </c>
      <c r="D725" t="s">
        <v>20</v>
      </c>
      <c r="E725" t="s">
        <v>53</v>
      </c>
      <c r="F725" t="s">
        <v>54</v>
      </c>
      <c r="G725" t="s">
        <v>54</v>
      </c>
      <c r="H725" t="s">
        <v>54</v>
      </c>
      <c r="J725" t="s">
        <v>89</v>
      </c>
      <c r="K725" t="s">
        <v>90</v>
      </c>
      <c r="O725">
        <v>2</v>
      </c>
      <c r="P725">
        <f>COUNTIFS(keyword_comparison[record_identifier],keyword_comparison[[#This Row],[record_identifier]],keyword_comparison[Review],"&lt;&gt;")</f>
        <v>0</v>
      </c>
      <c r="Q725" cm="1">
        <f t="array" ref="Q725">SUMPRODUCT((keyword_comparison[record_identifier]=keyword_comparison[[#This Row],[record_identifier]])*(LEN(keyword_comparison[keyword_matcher_output])&gt;0))</f>
        <v>0</v>
      </c>
    </row>
    <row r="726" spans="1:17" x14ac:dyDescent="0.25">
      <c r="A726" t="s">
        <v>669</v>
      </c>
      <c r="B726" t="s">
        <v>670</v>
      </c>
      <c r="C726" t="s">
        <v>671</v>
      </c>
      <c r="D726" t="s">
        <v>20</v>
      </c>
      <c r="E726" t="s">
        <v>53</v>
      </c>
      <c r="F726" t="s">
        <v>54</v>
      </c>
      <c r="G726" t="s">
        <v>54</v>
      </c>
      <c r="H726" t="s">
        <v>54</v>
      </c>
      <c r="J726" t="s">
        <v>262</v>
      </c>
      <c r="K726" t="s">
        <v>263</v>
      </c>
      <c r="O726">
        <v>3</v>
      </c>
      <c r="P726">
        <f>COUNTIFS(keyword_comparison[record_identifier],keyword_comparison[[#This Row],[record_identifier]],keyword_comparison[Review],"&lt;&gt;")</f>
        <v>0</v>
      </c>
      <c r="Q726" cm="1">
        <f t="array" ref="Q726">SUMPRODUCT((keyword_comparison[record_identifier]=keyword_comparison[[#This Row],[record_identifier]])*(LEN(keyword_comparison[keyword_matcher_output])&gt;0))</f>
        <v>0</v>
      </c>
    </row>
    <row r="727" spans="1:17" x14ac:dyDescent="0.25">
      <c r="A727" t="s">
        <v>669</v>
      </c>
      <c r="B727" t="s">
        <v>670</v>
      </c>
      <c r="C727" t="s">
        <v>671</v>
      </c>
      <c r="D727" t="s">
        <v>20</v>
      </c>
      <c r="E727" t="s">
        <v>53</v>
      </c>
      <c r="F727" t="s">
        <v>54</v>
      </c>
      <c r="G727" t="s">
        <v>54</v>
      </c>
      <c r="H727" t="s">
        <v>54</v>
      </c>
      <c r="J727" t="s">
        <v>219</v>
      </c>
      <c r="K727" t="s">
        <v>221</v>
      </c>
      <c r="O727">
        <v>4</v>
      </c>
      <c r="P727">
        <f>COUNTIFS(keyword_comparison[record_identifier],keyword_comparison[[#This Row],[record_identifier]],keyword_comparison[Review],"&lt;&gt;")</f>
        <v>0</v>
      </c>
      <c r="Q727" cm="1">
        <f t="array" ref="Q727">SUMPRODUCT((keyword_comparison[record_identifier]=keyword_comparison[[#This Row],[record_identifier]])*(LEN(keyword_comparison[keyword_matcher_output])&gt;0))</f>
        <v>0</v>
      </c>
    </row>
    <row r="728" spans="1:17" x14ac:dyDescent="0.25">
      <c r="A728" t="s">
        <v>669</v>
      </c>
      <c r="B728" t="s">
        <v>670</v>
      </c>
      <c r="C728" t="s">
        <v>671</v>
      </c>
      <c r="D728" t="s">
        <v>20</v>
      </c>
      <c r="E728" t="s">
        <v>53</v>
      </c>
      <c r="F728" t="s">
        <v>54</v>
      </c>
      <c r="G728" t="s">
        <v>54</v>
      </c>
      <c r="H728" t="s">
        <v>54</v>
      </c>
      <c r="J728" t="s">
        <v>219</v>
      </c>
      <c r="K728" t="s">
        <v>220</v>
      </c>
      <c r="O728">
        <v>4</v>
      </c>
      <c r="P728">
        <f>COUNTIFS(keyword_comparison[record_identifier],keyword_comparison[[#This Row],[record_identifier]],keyword_comparison[Review],"&lt;&gt;")</f>
        <v>0</v>
      </c>
      <c r="Q728" cm="1">
        <f t="array" ref="Q728">SUMPRODUCT((keyword_comparison[record_identifier]=keyword_comparison[[#This Row],[record_identifier]])*(LEN(keyword_comparison[keyword_matcher_output])&gt;0))</f>
        <v>0</v>
      </c>
    </row>
    <row r="729" spans="1:17" x14ac:dyDescent="0.25">
      <c r="A729" t="s">
        <v>669</v>
      </c>
      <c r="B729" t="s">
        <v>670</v>
      </c>
      <c r="C729" t="s">
        <v>671</v>
      </c>
      <c r="D729" t="s">
        <v>20</v>
      </c>
      <c r="E729" t="s">
        <v>53</v>
      </c>
      <c r="F729" t="s">
        <v>54</v>
      </c>
      <c r="G729" t="s">
        <v>54</v>
      </c>
      <c r="H729" t="s">
        <v>54</v>
      </c>
      <c r="J729" t="s">
        <v>407</v>
      </c>
      <c r="K729" t="s">
        <v>408</v>
      </c>
      <c r="O729">
        <v>6</v>
      </c>
      <c r="P729">
        <f>COUNTIFS(keyword_comparison[record_identifier],keyword_comparison[[#This Row],[record_identifier]],keyword_comparison[Review],"&lt;&gt;")</f>
        <v>0</v>
      </c>
      <c r="Q729" cm="1">
        <f t="array" ref="Q729">SUMPRODUCT((keyword_comparison[record_identifier]=keyword_comparison[[#This Row],[record_identifier]])*(LEN(keyword_comparison[keyword_matcher_output])&gt;0))</f>
        <v>0</v>
      </c>
    </row>
    <row r="730" spans="1:17" x14ac:dyDescent="0.25">
      <c r="A730" t="s">
        <v>669</v>
      </c>
      <c r="B730" t="s">
        <v>670</v>
      </c>
      <c r="C730" t="s">
        <v>671</v>
      </c>
      <c r="D730" t="s">
        <v>20</v>
      </c>
      <c r="E730" t="s">
        <v>53</v>
      </c>
      <c r="F730" t="s">
        <v>54</v>
      </c>
      <c r="G730" t="s">
        <v>54</v>
      </c>
      <c r="H730" t="s">
        <v>54</v>
      </c>
      <c r="J730" t="s">
        <v>233</v>
      </c>
      <c r="K730" t="s">
        <v>234</v>
      </c>
      <c r="O730">
        <v>7</v>
      </c>
      <c r="P730">
        <f>COUNTIFS(keyword_comparison[record_identifier],keyword_comparison[[#This Row],[record_identifier]],keyword_comparison[Review],"&lt;&gt;")</f>
        <v>0</v>
      </c>
      <c r="Q730" cm="1">
        <f t="array" ref="Q730">SUMPRODUCT((keyword_comparison[record_identifier]=keyword_comparison[[#This Row],[record_identifier]])*(LEN(keyword_comparison[keyword_matcher_output])&gt;0))</f>
        <v>0</v>
      </c>
    </row>
    <row r="731" spans="1:17" x14ac:dyDescent="0.25">
      <c r="A731" t="s">
        <v>669</v>
      </c>
      <c r="B731" t="s">
        <v>670</v>
      </c>
      <c r="C731" t="s">
        <v>671</v>
      </c>
      <c r="D731" t="s">
        <v>20</v>
      </c>
      <c r="E731" t="s">
        <v>53</v>
      </c>
      <c r="F731" t="s">
        <v>54</v>
      </c>
      <c r="G731" t="s">
        <v>54</v>
      </c>
      <c r="H731" t="s">
        <v>54</v>
      </c>
      <c r="J731" t="s">
        <v>55</v>
      </c>
      <c r="K731" t="s">
        <v>56</v>
      </c>
      <c r="O731">
        <v>8</v>
      </c>
      <c r="P731">
        <f>COUNTIFS(keyword_comparison[record_identifier],keyword_comparison[[#This Row],[record_identifier]],keyword_comparison[Review],"&lt;&gt;")</f>
        <v>0</v>
      </c>
      <c r="Q731" cm="1">
        <f t="array" ref="Q731">SUMPRODUCT((keyword_comparison[record_identifier]=keyword_comparison[[#This Row],[record_identifier]])*(LEN(keyword_comparison[keyword_matcher_output])&gt;0))</f>
        <v>0</v>
      </c>
    </row>
    <row r="732" spans="1:17" x14ac:dyDescent="0.25">
      <c r="A732" t="s">
        <v>669</v>
      </c>
      <c r="B732" t="s">
        <v>670</v>
      </c>
      <c r="C732" t="s">
        <v>671</v>
      </c>
      <c r="D732" t="s">
        <v>20</v>
      </c>
      <c r="E732" t="s">
        <v>53</v>
      </c>
      <c r="F732" t="s">
        <v>54</v>
      </c>
      <c r="G732" t="s">
        <v>54</v>
      </c>
      <c r="H732" t="s">
        <v>54</v>
      </c>
      <c r="J732" t="s">
        <v>609</v>
      </c>
      <c r="K732" t="s">
        <v>610</v>
      </c>
      <c r="O732">
        <v>9</v>
      </c>
      <c r="P732">
        <f>COUNTIFS(keyword_comparison[record_identifier],keyword_comparison[[#This Row],[record_identifier]],keyword_comparison[Review],"&lt;&gt;")</f>
        <v>0</v>
      </c>
      <c r="Q732" cm="1">
        <f t="array" ref="Q732">SUMPRODUCT((keyword_comparison[record_identifier]=keyword_comparison[[#This Row],[record_identifier]])*(LEN(keyword_comparison[keyword_matcher_output])&gt;0))</f>
        <v>0</v>
      </c>
    </row>
    <row r="733" spans="1:17" x14ac:dyDescent="0.25">
      <c r="A733" t="s">
        <v>669</v>
      </c>
      <c r="B733" t="s">
        <v>670</v>
      </c>
      <c r="C733" t="s">
        <v>671</v>
      </c>
      <c r="D733" t="s">
        <v>20</v>
      </c>
      <c r="E733" t="s">
        <v>53</v>
      </c>
      <c r="F733" t="s">
        <v>54</v>
      </c>
      <c r="G733" t="s">
        <v>54</v>
      </c>
      <c r="H733" t="s">
        <v>54</v>
      </c>
      <c r="J733" t="s">
        <v>672</v>
      </c>
      <c r="K733" t="s">
        <v>673</v>
      </c>
      <c r="O733">
        <v>10</v>
      </c>
      <c r="P733">
        <f>COUNTIFS(keyword_comparison[record_identifier],keyword_comparison[[#This Row],[record_identifier]],keyword_comparison[Review],"&lt;&gt;")</f>
        <v>0</v>
      </c>
      <c r="Q733" cm="1">
        <f t="array" ref="Q733">SUMPRODUCT((keyword_comparison[record_identifier]=keyword_comparison[[#This Row],[record_identifier]])*(LEN(keyword_comparison[keyword_matcher_output])&gt;0))</f>
        <v>0</v>
      </c>
    </row>
    <row r="734" spans="1:17" x14ac:dyDescent="0.25">
      <c r="A734" t="s">
        <v>674</v>
      </c>
      <c r="B734" t="s">
        <v>675</v>
      </c>
      <c r="C734" t="s">
        <v>676</v>
      </c>
      <c r="D734" t="s">
        <v>20</v>
      </c>
      <c r="E734" t="s">
        <v>33</v>
      </c>
      <c r="H734" t="s">
        <v>54</v>
      </c>
      <c r="J734" t="s">
        <v>300</v>
      </c>
      <c r="K734" t="s">
        <v>301</v>
      </c>
      <c r="L734" t="b">
        <v>1</v>
      </c>
      <c r="M734">
        <v>0.92490000000000006</v>
      </c>
      <c r="N734">
        <v>1</v>
      </c>
      <c r="P734">
        <f>COUNTIFS(keyword_comparison[record_identifier],keyword_comparison[[#This Row],[record_identifier]],keyword_comparison[Review],"&lt;&gt;")</f>
        <v>0</v>
      </c>
      <c r="Q734" cm="1">
        <f t="array" ref="Q734">SUMPRODUCT((keyword_comparison[record_identifier]=keyword_comparison[[#This Row],[record_identifier]])*(LEN(keyword_comparison[keyword_matcher_output])&gt;0))</f>
        <v>0</v>
      </c>
    </row>
    <row r="735" spans="1:17" x14ac:dyDescent="0.25">
      <c r="A735" t="s">
        <v>674</v>
      </c>
      <c r="B735" t="s">
        <v>675</v>
      </c>
      <c r="C735" t="s">
        <v>676</v>
      </c>
      <c r="D735" t="s">
        <v>20</v>
      </c>
      <c r="E735" t="s">
        <v>33</v>
      </c>
      <c r="H735" t="s">
        <v>54</v>
      </c>
      <c r="J735" t="s">
        <v>473</v>
      </c>
      <c r="K735" t="s">
        <v>474</v>
      </c>
      <c r="M735">
        <v>0.4718</v>
      </c>
      <c r="N735">
        <v>2</v>
      </c>
      <c r="P735">
        <f>COUNTIFS(keyword_comparison[record_identifier],keyword_comparison[[#This Row],[record_identifier]],keyword_comparison[Review],"&lt;&gt;")</f>
        <v>0</v>
      </c>
      <c r="Q735" cm="1">
        <f t="array" ref="Q735">SUMPRODUCT((keyword_comparison[record_identifier]=keyword_comparison[[#This Row],[record_identifier]])*(LEN(keyword_comparison[keyword_matcher_output])&gt;0))</f>
        <v>0</v>
      </c>
    </row>
    <row r="736" spans="1:17" x14ac:dyDescent="0.25">
      <c r="A736" t="s">
        <v>674</v>
      </c>
      <c r="B736" t="s">
        <v>675</v>
      </c>
      <c r="C736" t="s">
        <v>676</v>
      </c>
      <c r="D736" t="s">
        <v>20</v>
      </c>
      <c r="E736" t="s">
        <v>33</v>
      </c>
      <c r="H736" t="s">
        <v>54</v>
      </c>
      <c r="J736" t="s">
        <v>46</v>
      </c>
      <c r="K736" t="s">
        <v>47</v>
      </c>
      <c r="M736">
        <v>0.2984</v>
      </c>
      <c r="N736">
        <v>3</v>
      </c>
      <c r="P736">
        <f>COUNTIFS(keyword_comparison[record_identifier],keyword_comparison[[#This Row],[record_identifier]],keyword_comparison[Review],"&lt;&gt;")</f>
        <v>0</v>
      </c>
      <c r="Q736" cm="1">
        <f t="array" ref="Q736">SUMPRODUCT((keyword_comparison[record_identifier]=keyword_comparison[[#This Row],[record_identifier]])*(LEN(keyword_comparison[keyword_matcher_output])&gt;0))</f>
        <v>0</v>
      </c>
    </row>
    <row r="737" spans="1:17" x14ac:dyDescent="0.25">
      <c r="A737" t="s">
        <v>674</v>
      </c>
      <c r="B737" t="s">
        <v>675</v>
      </c>
      <c r="C737" t="s">
        <v>676</v>
      </c>
      <c r="D737" t="s">
        <v>20</v>
      </c>
      <c r="E737" t="s">
        <v>33</v>
      </c>
      <c r="H737" t="s">
        <v>54</v>
      </c>
      <c r="J737" t="s">
        <v>677</v>
      </c>
      <c r="K737" t="s">
        <v>678</v>
      </c>
      <c r="M737">
        <v>0.16289999999999999</v>
      </c>
      <c r="N737">
        <v>4</v>
      </c>
      <c r="P737">
        <f>COUNTIFS(keyword_comparison[record_identifier],keyword_comparison[[#This Row],[record_identifier]],keyword_comparison[Review],"&lt;&gt;")</f>
        <v>0</v>
      </c>
      <c r="Q737" cm="1">
        <f t="array" ref="Q737">SUMPRODUCT((keyword_comparison[record_identifier]=keyword_comparison[[#This Row],[record_identifier]])*(LEN(keyword_comparison[keyword_matcher_output])&gt;0))</f>
        <v>0</v>
      </c>
    </row>
    <row r="738" spans="1:17" x14ac:dyDescent="0.25">
      <c r="A738" t="s">
        <v>674</v>
      </c>
      <c r="B738" t="s">
        <v>675</v>
      </c>
      <c r="C738" t="s">
        <v>676</v>
      </c>
      <c r="D738" t="s">
        <v>20</v>
      </c>
      <c r="E738" t="s">
        <v>33</v>
      </c>
      <c r="H738" t="s">
        <v>54</v>
      </c>
      <c r="J738" t="s">
        <v>492</v>
      </c>
      <c r="K738" t="s">
        <v>493</v>
      </c>
      <c r="M738">
        <v>0.11749999999999999</v>
      </c>
      <c r="N738">
        <v>5</v>
      </c>
      <c r="P738">
        <f>COUNTIFS(keyword_comparison[record_identifier],keyword_comparison[[#This Row],[record_identifier]],keyword_comparison[Review],"&lt;&gt;")</f>
        <v>0</v>
      </c>
      <c r="Q738" cm="1">
        <f t="array" ref="Q738">SUMPRODUCT((keyword_comparison[record_identifier]=keyword_comparison[[#This Row],[record_identifier]])*(LEN(keyword_comparison[keyword_matcher_output])&gt;0))</f>
        <v>0</v>
      </c>
    </row>
    <row r="739" spans="1:17" x14ac:dyDescent="0.25">
      <c r="A739" t="s">
        <v>674</v>
      </c>
      <c r="B739" t="s">
        <v>675</v>
      </c>
      <c r="C739" t="s">
        <v>676</v>
      </c>
      <c r="D739" t="s">
        <v>20</v>
      </c>
      <c r="E739" t="s">
        <v>33</v>
      </c>
      <c r="H739" t="s">
        <v>54</v>
      </c>
      <c r="J739" t="s">
        <v>679</v>
      </c>
      <c r="K739" t="s">
        <v>680</v>
      </c>
      <c r="M739">
        <v>5.8900000000000001E-2</v>
      </c>
      <c r="N739">
        <v>6</v>
      </c>
      <c r="P739">
        <f>COUNTIFS(keyword_comparison[record_identifier],keyword_comparison[[#This Row],[record_identifier]],keyword_comparison[Review],"&lt;&gt;")</f>
        <v>0</v>
      </c>
      <c r="Q739" cm="1">
        <f t="array" ref="Q739">SUMPRODUCT((keyword_comparison[record_identifier]=keyword_comparison[[#This Row],[record_identifier]])*(LEN(keyword_comparison[keyword_matcher_output])&gt;0))</f>
        <v>0</v>
      </c>
    </row>
    <row r="740" spans="1:17" x14ac:dyDescent="0.25">
      <c r="A740" t="s">
        <v>674</v>
      </c>
      <c r="B740" t="s">
        <v>675</v>
      </c>
      <c r="C740" t="s">
        <v>676</v>
      </c>
      <c r="D740" t="s">
        <v>20</v>
      </c>
      <c r="E740" t="s">
        <v>33</v>
      </c>
      <c r="H740" t="s">
        <v>54</v>
      </c>
      <c r="J740" t="s">
        <v>681</v>
      </c>
      <c r="K740" t="s">
        <v>682</v>
      </c>
      <c r="M740">
        <v>5.04E-2</v>
      </c>
      <c r="N740">
        <v>7</v>
      </c>
      <c r="P740">
        <f>COUNTIFS(keyword_comparison[record_identifier],keyword_comparison[[#This Row],[record_identifier]],keyword_comparison[Review],"&lt;&gt;")</f>
        <v>0</v>
      </c>
      <c r="Q740" cm="1">
        <f t="array" ref="Q740">SUMPRODUCT((keyword_comparison[record_identifier]=keyword_comparison[[#This Row],[record_identifier]])*(LEN(keyword_comparison[keyword_matcher_output])&gt;0))</f>
        <v>0</v>
      </c>
    </row>
    <row r="741" spans="1:17" x14ac:dyDescent="0.25">
      <c r="A741" t="s">
        <v>674</v>
      </c>
      <c r="B741" t="s">
        <v>675</v>
      </c>
      <c r="C741" t="s">
        <v>676</v>
      </c>
      <c r="D741" t="s">
        <v>20</v>
      </c>
      <c r="E741" t="s">
        <v>48</v>
      </c>
      <c r="H741" t="s">
        <v>54</v>
      </c>
      <c r="J741" t="s">
        <v>300</v>
      </c>
      <c r="K741" t="s">
        <v>301</v>
      </c>
      <c r="L741" t="b">
        <v>1</v>
      </c>
      <c r="P741">
        <f>COUNTIFS(keyword_comparison[record_identifier],keyword_comparison[[#This Row],[record_identifier]],keyword_comparison[Review],"&lt;&gt;")</f>
        <v>0</v>
      </c>
      <c r="Q741" cm="1">
        <f t="array" ref="Q741">SUMPRODUCT((keyword_comparison[record_identifier]=keyword_comparison[[#This Row],[record_identifier]])*(LEN(keyword_comparison[keyword_matcher_output])&gt;0))</f>
        <v>0</v>
      </c>
    </row>
    <row r="742" spans="1:17" x14ac:dyDescent="0.25">
      <c r="A742" t="s">
        <v>674</v>
      </c>
      <c r="B742" t="s">
        <v>675</v>
      </c>
      <c r="C742" t="s">
        <v>676</v>
      </c>
      <c r="D742" t="s">
        <v>20</v>
      </c>
      <c r="E742" t="s">
        <v>48</v>
      </c>
      <c r="H742" t="s">
        <v>54</v>
      </c>
      <c r="J742" t="s">
        <v>84</v>
      </c>
      <c r="K742" t="s">
        <v>85</v>
      </c>
      <c r="P742">
        <f>COUNTIFS(keyword_comparison[record_identifier],keyword_comparison[[#This Row],[record_identifier]],keyword_comparison[Review],"&lt;&gt;")</f>
        <v>0</v>
      </c>
      <c r="Q742" cm="1">
        <f t="array" ref="Q742">SUMPRODUCT((keyword_comparison[record_identifier]=keyword_comparison[[#This Row],[record_identifier]])*(LEN(keyword_comparison[keyword_matcher_output])&gt;0))</f>
        <v>0</v>
      </c>
    </row>
    <row r="743" spans="1:17" x14ac:dyDescent="0.25">
      <c r="A743" t="s">
        <v>674</v>
      </c>
      <c r="B743" t="s">
        <v>675</v>
      </c>
      <c r="C743" t="s">
        <v>676</v>
      </c>
      <c r="D743" t="s">
        <v>20</v>
      </c>
      <c r="E743" t="s">
        <v>53</v>
      </c>
      <c r="F743" t="s">
        <v>54</v>
      </c>
      <c r="G743" t="s">
        <v>54</v>
      </c>
      <c r="H743" t="s">
        <v>54</v>
      </c>
      <c r="J743" t="s">
        <v>300</v>
      </c>
      <c r="K743" t="s">
        <v>301</v>
      </c>
      <c r="O743">
        <v>1</v>
      </c>
      <c r="P743">
        <f>COUNTIFS(keyword_comparison[record_identifier],keyword_comparison[[#This Row],[record_identifier]],keyword_comparison[Review],"&lt;&gt;")</f>
        <v>0</v>
      </c>
      <c r="Q743" cm="1">
        <f t="array" ref="Q743">SUMPRODUCT((keyword_comparison[record_identifier]=keyword_comparison[[#This Row],[record_identifier]])*(LEN(keyword_comparison[keyword_matcher_output])&gt;0))</f>
        <v>0</v>
      </c>
    </row>
    <row r="744" spans="1:17" x14ac:dyDescent="0.25">
      <c r="A744" t="s">
        <v>674</v>
      </c>
      <c r="B744" t="s">
        <v>675</v>
      </c>
      <c r="C744" t="s">
        <v>676</v>
      </c>
      <c r="D744" t="s">
        <v>20</v>
      </c>
      <c r="E744" t="s">
        <v>53</v>
      </c>
      <c r="F744" t="s">
        <v>54</v>
      </c>
      <c r="G744" t="s">
        <v>54</v>
      </c>
      <c r="H744" t="s">
        <v>54</v>
      </c>
      <c r="J744" t="s">
        <v>477</v>
      </c>
      <c r="K744" t="s">
        <v>478</v>
      </c>
      <c r="O744">
        <v>2</v>
      </c>
      <c r="P744">
        <f>COUNTIFS(keyword_comparison[record_identifier],keyword_comparison[[#This Row],[record_identifier]],keyword_comparison[Review],"&lt;&gt;")</f>
        <v>0</v>
      </c>
      <c r="Q744" cm="1">
        <f t="array" ref="Q744">SUMPRODUCT((keyword_comparison[record_identifier]=keyword_comparison[[#This Row],[record_identifier]])*(LEN(keyword_comparison[keyword_matcher_output])&gt;0))</f>
        <v>0</v>
      </c>
    </row>
    <row r="745" spans="1:17" x14ac:dyDescent="0.25">
      <c r="A745" t="s">
        <v>674</v>
      </c>
      <c r="B745" t="s">
        <v>675</v>
      </c>
      <c r="C745" t="s">
        <v>676</v>
      </c>
      <c r="D745" t="s">
        <v>20</v>
      </c>
      <c r="E745" t="s">
        <v>53</v>
      </c>
      <c r="F745" t="s">
        <v>54</v>
      </c>
      <c r="G745" t="s">
        <v>54</v>
      </c>
      <c r="H745" t="s">
        <v>54</v>
      </c>
      <c r="J745" t="s">
        <v>683</v>
      </c>
      <c r="K745" t="s">
        <v>104</v>
      </c>
      <c r="O745">
        <v>3</v>
      </c>
      <c r="P745">
        <f>COUNTIFS(keyword_comparison[record_identifier],keyword_comparison[[#This Row],[record_identifier]],keyword_comparison[Review],"&lt;&gt;")</f>
        <v>0</v>
      </c>
      <c r="Q745" cm="1">
        <f t="array" ref="Q745">SUMPRODUCT((keyword_comparison[record_identifier]=keyword_comparison[[#This Row],[record_identifier]])*(LEN(keyword_comparison[keyword_matcher_output])&gt;0))</f>
        <v>0</v>
      </c>
    </row>
    <row r="746" spans="1:17" x14ac:dyDescent="0.25">
      <c r="A746" t="s">
        <v>674</v>
      </c>
      <c r="B746" t="s">
        <v>675</v>
      </c>
      <c r="C746" t="s">
        <v>676</v>
      </c>
      <c r="D746" t="s">
        <v>20</v>
      </c>
      <c r="E746" t="s">
        <v>53</v>
      </c>
      <c r="F746" t="s">
        <v>54</v>
      </c>
      <c r="G746" t="s">
        <v>54</v>
      </c>
      <c r="H746" t="s">
        <v>54</v>
      </c>
      <c r="J746" t="s">
        <v>525</v>
      </c>
      <c r="K746" t="s">
        <v>137</v>
      </c>
      <c r="O746">
        <v>5</v>
      </c>
      <c r="P746">
        <f>COUNTIFS(keyword_comparison[record_identifier],keyword_comparison[[#This Row],[record_identifier]],keyword_comparison[Review],"&lt;&gt;")</f>
        <v>0</v>
      </c>
      <c r="Q746" cm="1">
        <f t="array" ref="Q746">SUMPRODUCT((keyword_comparison[record_identifier]=keyword_comparison[[#This Row],[record_identifier]])*(LEN(keyword_comparison[keyword_matcher_output])&gt;0))</f>
        <v>0</v>
      </c>
    </row>
    <row r="747" spans="1:17" x14ac:dyDescent="0.25">
      <c r="A747" t="s">
        <v>674</v>
      </c>
      <c r="B747" t="s">
        <v>675</v>
      </c>
      <c r="C747" t="s">
        <v>676</v>
      </c>
      <c r="D747" t="s">
        <v>20</v>
      </c>
      <c r="E747" t="s">
        <v>53</v>
      </c>
      <c r="F747" t="s">
        <v>54</v>
      </c>
      <c r="G747" t="s">
        <v>54</v>
      </c>
      <c r="H747" t="s">
        <v>54</v>
      </c>
      <c r="J747" t="s">
        <v>84</v>
      </c>
      <c r="K747" t="s">
        <v>85</v>
      </c>
      <c r="O747">
        <v>7</v>
      </c>
      <c r="P747">
        <f>COUNTIFS(keyword_comparison[record_identifier],keyword_comparison[[#This Row],[record_identifier]],keyword_comparison[Review],"&lt;&gt;")</f>
        <v>0</v>
      </c>
      <c r="Q747" cm="1">
        <f t="array" ref="Q747">SUMPRODUCT((keyword_comparison[record_identifier]=keyword_comparison[[#This Row],[record_identifier]])*(LEN(keyword_comparison[keyword_matcher_output])&gt;0))</f>
        <v>0</v>
      </c>
    </row>
    <row r="748" spans="1:17" x14ac:dyDescent="0.25">
      <c r="A748" t="s">
        <v>684</v>
      </c>
      <c r="B748" t="s">
        <v>685</v>
      </c>
      <c r="C748" t="s">
        <v>686</v>
      </c>
      <c r="D748" t="s">
        <v>20</v>
      </c>
      <c r="E748" t="s">
        <v>33</v>
      </c>
      <c r="H748" t="s">
        <v>54</v>
      </c>
      <c r="J748" t="s">
        <v>473</v>
      </c>
      <c r="K748" t="s">
        <v>474</v>
      </c>
      <c r="M748">
        <v>7.0499999999999993E-2</v>
      </c>
      <c r="N748">
        <v>1</v>
      </c>
      <c r="P748">
        <f>COUNTIFS(keyword_comparison[record_identifier],keyword_comparison[[#This Row],[record_identifier]],keyword_comparison[Review],"&lt;&gt;")</f>
        <v>0</v>
      </c>
      <c r="Q748" cm="1">
        <f t="array" ref="Q748">SUMPRODUCT((keyword_comparison[record_identifier]=keyword_comparison[[#This Row],[record_identifier]])*(LEN(keyword_comparison[keyword_matcher_output])&gt;0))</f>
        <v>0</v>
      </c>
    </row>
    <row r="749" spans="1:17" x14ac:dyDescent="0.25">
      <c r="A749" t="s">
        <v>684</v>
      </c>
      <c r="B749" t="s">
        <v>685</v>
      </c>
      <c r="C749" t="s">
        <v>686</v>
      </c>
      <c r="D749" t="s">
        <v>20</v>
      </c>
      <c r="E749" t="s">
        <v>33</v>
      </c>
      <c r="H749" t="s">
        <v>54</v>
      </c>
      <c r="J749" t="s">
        <v>687</v>
      </c>
      <c r="K749" t="s">
        <v>688</v>
      </c>
      <c r="M749">
        <v>5.1700000000000003E-2</v>
      </c>
      <c r="N749">
        <v>2</v>
      </c>
      <c r="P749">
        <f>COUNTIFS(keyword_comparison[record_identifier],keyword_comparison[[#This Row],[record_identifier]],keyword_comparison[Review],"&lt;&gt;")</f>
        <v>0</v>
      </c>
      <c r="Q749" cm="1">
        <f t="array" ref="Q749">SUMPRODUCT((keyword_comparison[record_identifier]=keyword_comparison[[#This Row],[record_identifier]])*(LEN(keyword_comparison[keyword_matcher_output])&gt;0))</f>
        <v>0</v>
      </c>
    </row>
    <row r="750" spans="1:17" x14ac:dyDescent="0.25">
      <c r="A750" t="s">
        <v>684</v>
      </c>
      <c r="B750" t="s">
        <v>685</v>
      </c>
      <c r="C750" t="s">
        <v>686</v>
      </c>
      <c r="D750" t="s">
        <v>20</v>
      </c>
      <c r="E750" t="s">
        <v>53</v>
      </c>
      <c r="F750" t="s">
        <v>54</v>
      </c>
      <c r="G750" t="s">
        <v>54</v>
      </c>
      <c r="H750" t="s">
        <v>54</v>
      </c>
      <c r="J750" t="s">
        <v>689</v>
      </c>
      <c r="K750" t="s">
        <v>131</v>
      </c>
      <c r="O750">
        <v>1</v>
      </c>
      <c r="P750">
        <f>COUNTIFS(keyword_comparison[record_identifier],keyword_comparison[[#This Row],[record_identifier]],keyword_comparison[Review],"&lt;&gt;")</f>
        <v>0</v>
      </c>
      <c r="Q750" cm="1">
        <f t="array" ref="Q750">SUMPRODUCT((keyword_comparison[record_identifier]=keyword_comparison[[#This Row],[record_identifier]])*(LEN(keyword_comparison[keyword_matcher_output])&gt;0))</f>
        <v>0</v>
      </c>
    </row>
    <row r="751" spans="1:17" x14ac:dyDescent="0.25">
      <c r="A751" t="s">
        <v>684</v>
      </c>
      <c r="B751" t="s">
        <v>685</v>
      </c>
      <c r="C751" t="s">
        <v>686</v>
      </c>
      <c r="D751" t="s">
        <v>20</v>
      </c>
      <c r="E751" t="s">
        <v>53</v>
      </c>
      <c r="F751" t="s">
        <v>54</v>
      </c>
      <c r="G751" t="s">
        <v>54</v>
      </c>
      <c r="H751" t="s">
        <v>54</v>
      </c>
      <c r="J751" t="s">
        <v>558</v>
      </c>
      <c r="K751" t="s">
        <v>559</v>
      </c>
      <c r="O751">
        <v>2</v>
      </c>
      <c r="P751">
        <f>COUNTIFS(keyword_comparison[record_identifier],keyword_comparison[[#This Row],[record_identifier]],keyword_comparison[Review],"&lt;&gt;")</f>
        <v>0</v>
      </c>
      <c r="Q751" cm="1">
        <f t="array" ref="Q751">SUMPRODUCT((keyword_comparison[record_identifier]=keyword_comparison[[#This Row],[record_identifier]])*(LEN(keyword_comparison[keyword_matcher_output])&gt;0))</f>
        <v>0</v>
      </c>
    </row>
    <row r="752" spans="1:17" x14ac:dyDescent="0.25">
      <c r="A752" t="s">
        <v>684</v>
      </c>
      <c r="B752" t="s">
        <v>685</v>
      </c>
      <c r="C752" t="s">
        <v>686</v>
      </c>
      <c r="D752" t="s">
        <v>20</v>
      </c>
      <c r="E752" t="s">
        <v>53</v>
      </c>
      <c r="F752" t="s">
        <v>54</v>
      </c>
      <c r="G752" t="s">
        <v>54</v>
      </c>
      <c r="H752" t="s">
        <v>54</v>
      </c>
      <c r="J752" t="s">
        <v>690</v>
      </c>
      <c r="K752" t="s">
        <v>691</v>
      </c>
      <c r="O752">
        <v>3</v>
      </c>
      <c r="P752">
        <f>COUNTIFS(keyword_comparison[record_identifier],keyword_comparison[[#This Row],[record_identifier]],keyword_comparison[Review],"&lt;&gt;")</f>
        <v>0</v>
      </c>
      <c r="Q752" cm="1">
        <f t="array" ref="Q752">SUMPRODUCT((keyword_comparison[record_identifier]=keyword_comparison[[#This Row],[record_identifier]])*(LEN(keyword_comparison[keyword_matcher_output])&gt;0))</f>
        <v>0</v>
      </c>
    </row>
    <row r="753" spans="1:17" x14ac:dyDescent="0.25">
      <c r="A753" t="s">
        <v>684</v>
      </c>
      <c r="B753" t="s">
        <v>685</v>
      </c>
      <c r="C753" t="s">
        <v>686</v>
      </c>
      <c r="D753" t="s">
        <v>20</v>
      </c>
      <c r="E753" t="s">
        <v>53</v>
      </c>
      <c r="F753" t="s">
        <v>54</v>
      </c>
      <c r="G753" t="s">
        <v>54</v>
      </c>
      <c r="H753" t="s">
        <v>54</v>
      </c>
      <c r="J753" t="s">
        <v>657</v>
      </c>
      <c r="K753" t="s">
        <v>658</v>
      </c>
      <c r="O753">
        <v>4</v>
      </c>
      <c r="P753">
        <f>COUNTIFS(keyword_comparison[record_identifier],keyword_comparison[[#This Row],[record_identifier]],keyword_comparison[Review],"&lt;&gt;")</f>
        <v>0</v>
      </c>
      <c r="Q753" cm="1">
        <f t="array" ref="Q753">SUMPRODUCT((keyword_comparison[record_identifier]=keyword_comparison[[#This Row],[record_identifier]])*(LEN(keyword_comparison[keyword_matcher_output])&gt;0))</f>
        <v>0</v>
      </c>
    </row>
    <row r="754" spans="1:17" x14ac:dyDescent="0.25">
      <c r="A754" t="s">
        <v>684</v>
      </c>
      <c r="B754" t="s">
        <v>685</v>
      </c>
      <c r="C754" t="s">
        <v>686</v>
      </c>
      <c r="D754" t="s">
        <v>20</v>
      </c>
      <c r="E754" t="s">
        <v>53</v>
      </c>
      <c r="F754" t="s">
        <v>54</v>
      </c>
      <c r="G754" t="s">
        <v>54</v>
      </c>
      <c r="H754" t="s">
        <v>54</v>
      </c>
      <c r="J754" t="s">
        <v>84</v>
      </c>
      <c r="K754" t="s">
        <v>85</v>
      </c>
      <c r="O754">
        <v>5</v>
      </c>
      <c r="P754">
        <f>COUNTIFS(keyword_comparison[record_identifier],keyword_comparison[[#This Row],[record_identifier]],keyword_comparison[Review],"&lt;&gt;")</f>
        <v>0</v>
      </c>
      <c r="Q754" cm="1">
        <f t="array" ref="Q754">SUMPRODUCT((keyword_comparison[record_identifier]=keyword_comparison[[#This Row],[record_identifier]])*(LEN(keyword_comparison[keyword_matcher_output])&gt;0))</f>
        <v>0</v>
      </c>
    </row>
    <row r="755" spans="1:17" x14ac:dyDescent="0.25">
      <c r="A755" t="s">
        <v>684</v>
      </c>
      <c r="B755" t="s">
        <v>685</v>
      </c>
      <c r="C755" t="s">
        <v>686</v>
      </c>
      <c r="D755" t="s">
        <v>20</v>
      </c>
      <c r="E755" t="s">
        <v>53</v>
      </c>
      <c r="F755" t="s">
        <v>54</v>
      </c>
      <c r="G755" t="s">
        <v>54</v>
      </c>
      <c r="H755" t="s">
        <v>54</v>
      </c>
      <c r="J755" t="s">
        <v>692</v>
      </c>
      <c r="K755" t="s">
        <v>693</v>
      </c>
      <c r="O755">
        <v>6</v>
      </c>
      <c r="P755">
        <f>COUNTIFS(keyword_comparison[record_identifier],keyword_comparison[[#This Row],[record_identifier]],keyword_comparison[Review],"&lt;&gt;")</f>
        <v>0</v>
      </c>
      <c r="Q755" cm="1">
        <f t="array" ref="Q755">SUMPRODUCT((keyword_comparison[record_identifier]=keyword_comparison[[#This Row],[record_identifier]])*(LEN(keyword_comparison[keyword_matcher_output])&gt;0))</f>
        <v>0</v>
      </c>
    </row>
    <row r="756" spans="1:17" x14ac:dyDescent="0.25">
      <c r="A756" t="s">
        <v>684</v>
      </c>
      <c r="B756" t="s">
        <v>685</v>
      </c>
      <c r="C756" t="s">
        <v>686</v>
      </c>
      <c r="D756" t="s">
        <v>20</v>
      </c>
      <c r="E756" t="s">
        <v>53</v>
      </c>
      <c r="F756" t="s">
        <v>54</v>
      </c>
      <c r="G756" t="s">
        <v>54</v>
      </c>
      <c r="H756" t="s">
        <v>54</v>
      </c>
      <c r="J756" t="s">
        <v>103</v>
      </c>
      <c r="K756" t="s">
        <v>104</v>
      </c>
      <c r="O756">
        <v>8</v>
      </c>
      <c r="P756">
        <f>COUNTIFS(keyword_comparison[record_identifier],keyword_comparison[[#This Row],[record_identifier]],keyword_comparison[Review],"&lt;&gt;")</f>
        <v>0</v>
      </c>
      <c r="Q756" cm="1">
        <f t="array" ref="Q756">SUMPRODUCT((keyword_comparison[record_identifier]=keyword_comparison[[#This Row],[record_identifier]])*(LEN(keyword_comparison[keyword_matcher_output])&gt;0))</f>
        <v>0</v>
      </c>
    </row>
    <row r="757" spans="1:17" x14ac:dyDescent="0.25">
      <c r="A757" t="s">
        <v>684</v>
      </c>
      <c r="B757" t="s">
        <v>685</v>
      </c>
      <c r="C757" t="s">
        <v>686</v>
      </c>
      <c r="D757" t="s">
        <v>20</v>
      </c>
      <c r="E757" t="s">
        <v>53</v>
      </c>
      <c r="F757" t="s">
        <v>54</v>
      </c>
      <c r="G757" t="s">
        <v>54</v>
      </c>
      <c r="H757" t="s">
        <v>54</v>
      </c>
      <c r="J757" t="s">
        <v>231</v>
      </c>
      <c r="K757" t="s">
        <v>232</v>
      </c>
      <c r="O757">
        <v>9</v>
      </c>
      <c r="P757">
        <f>COUNTIFS(keyword_comparison[record_identifier],keyword_comparison[[#This Row],[record_identifier]],keyword_comparison[Review],"&lt;&gt;")</f>
        <v>0</v>
      </c>
      <c r="Q757" cm="1">
        <f t="array" ref="Q757">SUMPRODUCT((keyword_comparison[record_identifier]=keyword_comparison[[#This Row],[record_identifier]])*(LEN(keyword_comparison[keyword_matcher_output])&gt;0))</f>
        <v>0</v>
      </c>
    </row>
    <row r="758" spans="1:17" x14ac:dyDescent="0.25">
      <c r="A758" t="s">
        <v>684</v>
      </c>
      <c r="B758" t="s">
        <v>685</v>
      </c>
      <c r="C758" t="s">
        <v>686</v>
      </c>
      <c r="D758" t="s">
        <v>20</v>
      </c>
      <c r="E758" t="s">
        <v>53</v>
      </c>
      <c r="F758" t="s">
        <v>54</v>
      </c>
      <c r="G758" t="s">
        <v>54</v>
      </c>
      <c r="H758" t="s">
        <v>54</v>
      </c>
      <c r="J758" t="s">
        <v>694</v>
      </c>
      <c r="K758" t="s">
        <v>303</v>
      </c>
      <c r="O758">
        <v>10</v>
      </c>
      <c r="P758">
        <f>COUNTIFS(keyword_comparison[record_identifier],keyword_comparison[[#This Row],[record_identifier]],keyword_comparison[Review],"&lt;&gt;")</f>
        <v>0</v>
      </c>
      <c r="Q758" cm="1">
        <f t="array" ref="Q758">SUMPRODUCT((keyword_comparison[record_identifier]=keyword_comparison[[#This Row],[record_identifier]])*(LEN(keyword_comparison[keyword_matcher_output])&gt;0))</f>
        <v>0</v>
      </c>
    </row>
    <row r="759" spans="1:17" x14ac:dyDescent="0.25">
      <c r="A759" t="s">
        <v>695</v>
      </c>
      <c r="B759" t="s">
        <v>696</v>
      </c>
      <c r="C759" t="s">
        <v>697</v>
      </c>
      <c r="D759" t="s">
        <v>20</v>
      </c>
      <c r="E759" t="s">
        <v>21</v>
      </c>
      <c r="F759" t="s">
        <v>698</v>
      </c>
      <c r="G759" t="s">
        <v>699</v>
      </c>
      <c r="H759" t="s">
        <v>54</v>
      </c>
      <c r="P759">
        <f>COUNTIFS(keyword_comparison[record_identifier],keyword_comparison[[#This Row],[record_identifier]],keyword_comparison[Review],"&lt;&gt;")</f>
        <v>24</v>
      </c>
      <c r="Q759" cm="1">
        <f t="array" ref="Q759">SUMPRODUCT((keyword_comparison[record_identifier]=keyword_comparison[[#This Row],[record_identifier]])*(LEN(keyword_comparison[keyword_matcher_output])&gt;0))</f>
        <v>7</v>
      </c>
    </row>
    <row r="760" spans="1:17" x14ac:dyDescent="0.25">
      <c r="A760" t="s">
        <v>695</v>
      </c>
      <c r="B760" t="s">
        <v>696</v>
      </c>
      <c r="C760" t="s">
        <v>697</v>
      </c>
      <c r="D760" t="s">
        <v>20</v>
      </c>
      <c r="E760" t="s">
        <v>21</v>
      </c>
      <c r="F760" t="s">
        <v>700</v>
      </c>
      <c r="G760" t="s">
        <v>460</v>
      </c>
      <c r="H760" t="s">
        <v>54</v>
      </c>
      <c r="P760">
        <f>COUNTIFS(keyword_comparison[record_identifier],keyword_comparison[[#This Row],[record_identifier]],keyword_comparison[Review],"&lt;&gt;")</f>
        <v>24</v>
      </c>
      <c r="Q760" cm="1">
        <f t="array" ref="Q760">SUMPRODUCT((keyword_comparison[record_identifier]=keyword_comparison[[#This Row],[record_identifier]])*(LEN(keyword_comparison[keyword_matcher_output])&gt;0))</f>
        <v>7</v>
      </c>
    </row>
    <row r="761" spans="1:17" x14ac:dyDescent="0.25">
      <c r="A761" t="s">
        <v>695</v>
      </c>
      <c r="B761" t="s">
        <v>696</v>
      </c>
      <c r="C761" t="s">
        <v>697</v>
      </c>
      <c r="D761" t="s">
        <v>20</v>
      </c>
      <c r="E761" t="s">
        <v>21</v>
      </c>
      <c r="F761" t="s">
        <v>57</v>
      </c>
      <c r="G761" t="s">
        <v>465</v>
      </c>
      <c r="H761" t="s">
        <v>58</v>
      </c>
      <c r="I761" t="s">
        <v>80</v>
      </c>
      <c r="P761">
        <f>COUNTIFS(keyword_comparison[record_identifier],keyword_comparison[[#This Row],[record_identifier]],keyword_comparison[Review],"&lt;&gt;")</f>
        <v>24</v>
      </c>
      <c r="Q761" cm="1">
        <f t="array" ref="Q761">SUMPRODUCT((keyword_comparison[record_identifier]=keyword_comparison[[#This Row],[record_identifier]])*(LEN(keyword_comparison[keyword_matcher_output])&gt;0))</f>
        <v>7</v>
      </c>
    </row>
    <row r="762" spans="1:17" x14ac:dyDescent="0.25">
      <c r="A762" t="s">
        <v>695</v>
      </c>
      <c r="B762" t="s">
        <v>696</v>
      </c>
      <c r="C762" t="s">
        <v>697</v>
      </c>
      <c r="D762" t="s">
        <v>20</v>
      </c>
      <c r="E762" t="s">
        <v>21</v>
      </c>
      <c r="F762" t="s">
        <v>701</v>
      </c>
      <c r="G762" t="s">
        <v>465</v>
      </c>
      <c r="H762" t="s">
        <v>54</v>
      </c>
      <c r="P762">
        <f>COUNTIFS(keyword_comparison[record_identifier],keyword_comparison[[#This Row],[record_identifier]],keyword_comparison[Review],"&lt;&gt;")</f>
        <v>24</v>
      </c>
      <c r="Q762" cm="1">
        <f t="array" ref="Q762">SUMPRODUCT((keyword_comparison[record_identifier]=keyword_comparison[[#This Row],[record_identifier]])*(LEN(keyword_comparison[keyword_matcher_output])&gt;0))</f>
        <v>7</v>
      </c>
    </row>
    <row r="763" spans="1:17" x14ac:dyDescent="0.25">
      <c r="A763" t="s">
        <v>695</v>
      </c>
      <c r="B763" t="s">
        <v>696</v>
      </c>
      <c r="C763" t="s">
        <v>697</v>
      </c>
      <c r="D763" t="s">
        <v>20</v>
      </c>
      <c r="E763" t="s">
        <v>21</v>
      </c>
      <c r="F763" t="s">
        <v>702</v>
      </c>
      <c r="G763" t="s">
        <v>465</v>
      </c>
      <c r="H763" t="s">
        <v>56</v>
      </c>
      <c r="I763" t="s">
        <v>88</v>
      </c>
      <c r="P763">
        <f>COUNTIFS(keyword_comparison[record_identifier],keyword_comparison[[#This Row],[record_identifier]],keyword_comparison[Review],"&lt;&gt;")</f>
        <v>24</v>
      </c>
      <c r="Q763" cm="1">
        <f t="array" ref="Q763">SUMPRODUCT((keyword_comparison[record_identifier]=keyword_comparison[[#This Row],[record_identifier]])*(LEN(keyword_comparison[keyword_matcher_output])&gt;0))</f>
        <v>7</v>
      </c>
    </row>
    <row r="764" spans="1:17" x14ac:dyDescent="0.25">
      <c r="A764" t="s">
        <v>695</v>
      </c>
      <c r="B764" t="s">
        <v>696</v>
      </c>
      <c r="C764" t="s">
        <v>697</v>
      </c>
      <c r="D764" t="s">
        <v>20</v>
      </c>
      <c r="E764" t="s">
        <v>21</v>
      </c>
      <c r="F764" t="s">
        <v>703</v>
      </c>
      <c r="G764" t="s">
        <v>465</v>
      </c>
      <c r="H764" t="s">
        <v>54</v>
      </c>
      <c r="P764">
        <f>COUNTIFS(keyword_comparison[record_identifier],keyword_comparison[[#This Row],[record_identifier]],keyword_comparison[Review],"&lt;&gt;")</f>
        <v>24</v>
      </c>
      <c r="Q764" cm="1">
        <f t="array" ref="Q764">SUMPRODUCT((keyword_comparison[record_identifier]=keyword_comparison[[#This Row],[record_identifier]])*(LEN(keyword_comparison[keyword_matcher_output])&gt;0))</f>
        <v>7</v>
      </c>
    </row>
    <row r="765" spans="1:17" x14ac:dyDescent="0.25">
      <c r="A765" t="s">
        <v>695</v>
      </c>
      <c r="B765" t="s">
        <v>696</v>
      </c>
      <c r="C765" t="s">
        <v>697</v>
      </c>
      <c r="D765" t="s">
        <v>20</v>
      </c>
      <c r="E765" t="s">
        <v>21</v>
      </c>
      <c r="F765" t="s">
        <v>704</v>
      </c>
      <c r="G765" t="s">
        <v>465</v>
      </c>
      <c r="H765" t="s">
        <v>705</v>
      </c>
      <c r="I765" t="s">
        <v>80</v>
      </c>
      <c r="P765">
        <f>COUNTIFS(keyword_comparison[record_identifier],keyword_comparison[[#This Row],[record_identifier]],keyword_comparison[Review],"&lt;&gt;")</f>
        <v>24</v>
      </c>
      <c r="Q765" cm="1">
        <f t="array" ref="Q765">SUMPRODUCT((keyword_comparison[record_identifier]=keyword_comparison[[#This Row],[record_identifier]])*(LEN(keyword_comparison[keyword_matcher_output])&gt;0))</f>
        <v>7</v>
      </c>
    </row>
    <row r="766" spans="1:17" x14ac:dyDescent="0.25">
      <c r="A766" t="s">
        <v>695</v>
      </c>
      <c r="B766" t="s">
        <v>696</v>
      </c>
      <c r="C766" t="s">
        <v>697</v>
      </c>
      <c r="D766" t="s">
        <v>20</v>
      </c>
      <c r="E766" t="s">
        <v>21</v>
      </c>
      <c r="F766" t="s">
        <v>706</v>
      </c>
      <c r="G766" t="s">
        <v>465</v>
      </c>
      <c r="H766" t="s">
        <v>54</v>
      </c>
      <c r="P766">
        <f>COUNTIFS(keyword_comparison[record_identifier],keyword_comparison[[#This Row],[record_identifier]],keyword_comparison[Review],"&lt;&gt;")</f>
        <v>24</v>
      </c>
      <c r="Q766" cm="1">
        <f t="array" ref="Q766">SUMPRODUCT((keyword_comparison[record_identifier]=keyword_comparison[[#This Row],[record_identifier]])*(LEN(keyword_comparison[keyword_matcher_output])&gt;0))</f>
        <v>7</v>
      </c>
    </row>
    <row r="767" spans="1:17" x14ac:dyDescent="0.25">
      <c r="A767" t="s">
        <v>695</v>
      </c>
      <c r="B767" t="s">
        <v>696</v>
      </c>
      <c r="C767" t="s">
        <v>697</v>
      </c>
      <c r="D767" t="s">
        <v>20</v>
      </c>
      <c r="E767" t="s">
        <v>21</v>
      </c>
      <c r="F767" t="s">
        <v>57</v>
      </c>
      <c r="G767" t="s">
        <v>465</v>
      </c>
      <c r="H767" t="s">
        <v>58</v>
      </c>
      <c r="I767" t="s">
        <v>80</v>
      </c>
      <c r="P767">
        <f>COUNTIFS(keyword_comparison[record_identifier],keyword_comparison[[#This Row],[record_identifier]],keyword_comparison[Review],"&lt;&gt;")</f>
        <v>24</v>
      </c>
      <c r="Q767" cm="1">
        <f t="array" ref="Q767">SUMPRODUCT((keyword_comparison[record_identifier]=keyword_comparison[[#This Row],[record_identifier]])*(LEN(keyword_comparison[keyword_matcher_output])&gt;0))</f>
        <v>7</v>
      </c>
    </row>
    <row r="768" spans="1:17" x14ac:dyDescent="0.25">
      <c r="A768" t="s">
        <v>695</v>
      </c>
      <c r="B768" t="s">
        <v>696</v>
      </c>
      <c r="C768" t="s">
        <v>697</v>
      </c>
      <c r="D768" t="s">
        <v>20</v>
      </c>
      <c r="E768" t="s">
        <v>21</v>
      </c>
      <c r="F768" t="s">
        <v>707</v>
      </c>
      <c r="G768" t="s">
        <v>465</v>
      </c>
      <c r="H768" t="s">
        <v>708</v>
      </c>
      <c r="I768" t="s">
        <v>80</v>
      </c>
      <c r="P768">
        <f>COUNTIFS(keyword_comparison[record_identifier],keyword_comparison[[#This Row],[record_identifier]],keyword_comparison[Review],"&lt;&gt;")</f>
        <v>24</v>
      </c>
      <c r="Q768" cm="1">
        <f t="array" ref="Q768">SUMPRODUCT((keyword_comparison[record_identifier]=keyword_comparison[[#This Row],[record_identifier]])*(LEN(keyword_comparison[keyword_matcher_output])&gt;0))</f>
        <v>7</v>
      </c>
    </row>
    <row r="769" spans="1:17" x14ac:dyDescent="0.25">
      <c r="A769" t="s">
        <v>695</v>
      </c>
      <c r="B769" t="s">
        <v>696</v>
      </c>
      <c r="C769" t="s">
        <v>697</v>
      </c>
      <c r="D769" t="s">
        <v>20</v>
      </c>
      <c r="E769" t="s">
        <v>21</v>
      </c>
      <c r="F769" t="s">
        <v>55</v>
      </c>
      <c r="G769" t="s">
        <v>465</v>
      </c>
      <c r="H769" t="s">
        <v>56</v>
      </c>
      <c r="I769" t="s">
        <v>80</v>
      </c>
      <c r="P769">
        <f>COUNTIFS(keyword_comparison[record_identifier],keyword_comparison[[#This Row],[record_identifier]],keyword_comparison[Review],"&lt;&gt;")</f>
        <v>24</v>
      </c>
      <c r="Q769" cm="1">
        <f t="array" ref="Q769">SUMPRODUCT((keyword_comparison[record_identifier]=keyword_comparison[[#This Row],[record_identifier]])*(LEN(keyword_comparison[keyword_matcher_output])&gt;0))</f>
        <v>7</v>
      </c>
    </row>
    <row r="770" spans="1:17" x14ac:dyDescent="0.25">
      <c r="A770" t="s">
        <v>695</v>
      </c>
      <c r="B770" t="s">
        <v>696</v>
      </c>
      <c r="C770" t="s">
        <v>697</v>
      </c>
      <c r="D770" t="s">
        <v>20</v>
      </c>
      <c r="E770" t="s">
        <v>21</v>
      </c>
      <c r="F770" t="s">
        <v>709</v>
      </c>
      <c r="G770" t="s">
        <v>465</v>
      </c>
      <c r="H770" t="s">
        <v>54</v>
      </c>
      <c r="P770">
        <f>COUNTIFS(keyword_comparison[record_identifier],keyword_comparison[[#This Row],[record_identifier]],keyword_comparison[Review],"&lt;&gt;")</f>
        <v>24</v>
      </c>
      <c r="Q770" cm="1">
        <f t="array" ref="Q770">SUMPRODUCT((keyword_comparison[record_identifier]=keyword_comparison[[#This Row],[record_identifier]])*(LEN(keyword_comparison[keyword_matcher_output])&gt;0))</f>
        <v>7</v>
      </c>
    </row>
    <row r="771" spans="1:17" x14ac:dyDescent="0.25">
      <c r="A771" t="s">
        <v>695</v>
      </c>
      <c r="B771" t="s">
        <v>696</v>
      </c>
      <c r="C771" t="s">
        <v>697</v>
      </c>
      <c r="D771" t="s">
        <v>20</v>
      </c>
      <c r="E771" t="s">
        <v>21</v>
      </c>
      <c r="F771" t="s">
        <v>55</v>
      </c>
      <c r="G771" t="s">
        <v>710</v>
      </c>
      <c r="H771" t="s">
        <v>56</v>
      </c>
      <c r="I771" t="s">
        <v>80</v>
      </c>
      <c r="P771">
        <f>COUNTIFS(keyword_comparison[record_identifier],keyword_comparison[[#This Row],[record_identifier]],keyword_comparison[Review],"&lt;&gt;")</f>
        <v>24</v>
      </c>
      <c r="Q771" cm="1">
        <f t="array" ref="Q771">SUMPRODUCT((keyword_comparison[record_identifier]=keyword_comparison[[#This Row],[record_identifier]])*(LEN(keyword_comparison[keyword_matcher_output])&gt;0))</f>
        <v>7</v>
      </c>
    </row>
    <row r="772" spans="1:17" x14ac:dyDescent="0.25">
      <c r="A772" t="s">
        <v>695</v>
      </c>
      <c r="B772" t="s">
        <v>696</v>
      </c>
      <c r="C772" t="s">
        <v>697</v>
      </c>
      <c r="D772" t="s">
        <v>20</v>
      </c>
      <c r="E772" t="s">
        <v>21</v>
      </c>
      <c r="F772" t="s">
        <v>711</v>
      </c>
      <c r="G772" t="s">
        <v>710</v>
      </c>
      <c r="H772" t="s">
        <v>54</v>
      </c>
      <c r="P772">
        <f>COUNTIFS(keyword_comparison[record_identifier],keyword_comparison[[#This Row],[record_identifier]],keyword_comparison[Review],"&lt;&gt;")</f>
        <v>24</v>
      </c>
      <c r="Q772" cm="1">
        <f t="array" ref="Q772">SUMPRODUCT((keyword_comparison[record_identifier]=keyword_comparison[[#This Row],[record_identifier]])*(LEN(keyword_comparison[keyword_matcher_output])&gt;0))</f>
        <v>7</v>
      </c>
    </row>
    <row r="773" spans="1:17" x14ac:dyDescent="0.25">
      <c r="A773" t="s">
        <v>695</v>
      </c>
      <c r="B773" t="s">
        <v>696</v>
      </c>
      <c r="C773" t="s">
        <v>697</v>
      </c>
      <c r="D773" t="s">
        <v>20</v>
      </c>
      <c r="E773" t="s">
        <v>21</v>
      </c>
      <c r="F773" t="s">
        <v>712</v>
      </c>
      <c r="G773" t="s">
        <v>710</v>
      </c>
      <c r="H773" t="s">
        <v>54</v>
      </c>
      <c r="P773">
        <f>COUNTIFS(keyword_comparison[record_identifier],keyword_comparison[[#This Row],[record_identifier]],keyword_comparison[Review],"&lt;&gt;")</f>
        <v>24</v>
      </c>
      <c r="Q773" cm="1">
        <f t="array" ref="Q773">SUMPRODUCT((keyword_comparison[record_identifier]=keyword_comparison[[#This Row],[record_identifier]])*(LEN(keyword_comparison[keyword_matcher_output])&gt;0))</f>
        <v>7</v>
      </c>
    </row>
    <row r="774" spans="1:17" x14ac:dyDescent="0.25">
      <c r="A774" t="s">
        <v>695</v>
      </c>
      <c r="B774" t="s">
        <v>696</v>
      </c>
      <c r="C774" t="s">
        <v>697</v>
      </c>
      <c r="D774" t="s">
        <v>20</v>
      </c>
      <c r="E774" t="s">
        <v>21</v>
      </c>
      <c r="F774" t="s">
        <v>713</v>
      </c>
      <c r="G774" t="s">
        <v>710</v>
      </c>
      <c r="H774" t="s">
        <v>54</v>
      </c>
      <c r="P774">
        <f>COUNTIFS(keyword_comparison[record_identifier],keyword_comparison[[#This Row],[record_identifier]],keyword_comparison[Review],"&lt;&gt;")</f>
        <v>24</v>
      </c>
      <c r="Q774" cm="1">
        <f t="array" ref="Q774">SUMPRODUCT((keyword_comparison[record_identifier]=keyword_comparison[[#This Row],[record_identifier]])*(LEN(keyword_comparison[keyword_matcher_output])&gt;0))</f>
        <v>7</v>
      </c>
    </row>
    <row r="775" spans="1:17" x14ac:dyDescent="0.25">
      <c r="A775" t="s">
        <v>695</v>
      </c>
      <c r="B775" t="s">
        <v>696</v>
      </c>
      <c r="C775" t="s">
        <v>697</v>
      </c>
      <c r="D775" t="s">
        <v>20</v>
      </c>
      <c r="E775" t="s">
        <v>21</v>
      </c>
      <c r="F775" t="s">
        <v>714</v>
      </c>
      <c r="G775" t="s">
        <v>699</v>
      </c>
      <c r="H775" t="s">
        <v>54</v>
      </c>
      <c r="P775">
        <f>COUNTIFS(keyword_comparison[record_identifier],keyword_comparison[[#This Row],[record_identifier]],keyword_comparison[Review],"&lt;&gt;")</f>
        <v>24</v>
      </c>
      <c r="Q775" cm="1">
        <f t="array" ref="Q775">SUMPRODUCT((keyword_comparison[record_identifier]=keyword_comparison[[#This Row],[record_identifier]])*(LEN(keyword_comparison[keyword_matcher_output])&gt;0))</f>
        <v>7</v>
      </c>
    </row>
    <row r="776" spans="1:17" x14ac:dyDescent="0.25">
      <c r="A776" t="s">
        <v>695</v>
      </c>
      <c r="B776" t="s">
        <v>696</v>
      </c>
      <c r="C776" t="s">
        <v>697</v>
      </c>
      <c r="D776" t="s">
        <v>20</v>
      </c>
      <c r="E776" t="s">
        <v>21</v>
      </c>
      <c r="F776" t="s">
        <v>715</v>
      </c>
      <c r="G776" t="s">
        <v>699</v>
      </c>
      <c r="H776" t="s">
        <v>54</v>
      </c>
      <c r="P776">
        <f>COUNTIFS(keyword_comparison[record_identifier],keyword_comparison[[#This Row],[record_identifier]],keyword_comparison[Review],"&lt;&gt;")</f>
        <v>24</v>
      </c>
      <c r="Q776" cm="1">
        <f t="array" ref="Q776">SUMPRODUCT((keyword_comparison[record_identifier]=keyword_comparison[[#This Row],[record_identifier]])*(LEN(keyword_comparison[keyword_matcher_output])&gt;0))</f>
        <v>7</v>
      </c>
    </row>
    <row r="777" spans="1:17" x14ac:dyDescent="0.25">
      <c r="A777" t="s">
        <v>695</v>
      </c>
      <c r="B777" t="s">
        <v>696</v>
      </c>
      <c r="C777" t="s">
        <v>697</v>
      </c>
      <c r="D777" t="s">
        <v>20</v>
      </c>
      <c r="E777" t="s">
        <v>33</v>
      </c>
      <c r="H777" t="s">
        <v>54</v>
      </c>
      <c r="I777" t="s">
        <v>80</v>
      </c>
      <c r="J777" t="s">
        <v>716</v>
      </c>
      <c r="K777" t="s">
        <v>43</v>
      </c>
      <c r="M777">
        <v>0.3624</v>
      </c>
      <c r="N777">
        <v>1</v>
      </c>
      <c r="P777">
        <f>COUNTIFS(keyword_comparison[record_identifier],keyword_comparison[[#This Row],[record_identifier]],keyword_comparison[Review],"&lt;&gt;")</f>
        <v>24</v>
      </c>
      <c r="Q777" cm="1">
        <f t="array" ref="Q777">SUMPRODUCT((keyword_comparison[record_identifier]=keyword_comparison[[#This Row],[record_identifier]])*(LEN(keyword_comparison[keyword_matcher_output])&gt;0))</f>
        <v>7</v>
      </c>
    </row>
    <row r="778" spans="1:17" x14ac:dyDescent="0.25">
      <c r="A778" t="s">
        <v>695</v>
      </c>
      <c r="B778" t="s">
        <v>696</v>
      </c>
      <c r="C778" t="s">
        <v>697</v>
      </c>
      <c r="D778" t="s">
        <v>20</v>
      </c>
      <c r="E778" t="s">
        <v>33</v>
      </c>
      <c r="H778" t="s">
        <v>54</v>
      </c>
      <c r="I778" t="s">
        <v>80</v>
      </c>
      <c r="J778" t="s">
        <v>407</v>
      </c>
      <c r="K778" t="s">
        <v>408</v>
      </c>
      <c r="M778">
        <v>0.15509999999999999</v>
      </c>
      <c r="N778">
        <v>2</v>
      </c>
      <c r="P778">
        <f>COUNTIFS(keyword_comparison[record_identifier],keyword_comparison[[#This Row],[record_identifier]],keyword_comparison[Review],"&lt;&gt;")</f>
        <v>24</v>
      </c>
      <c r="Q778" cm="1">
        <f t="array" ref="Q778">SUMPRODUCT((keyword_comparison[record_identifier]=keyword_comparison[[#This Row],[record_identifier]])*(LEN(keyword_comparison[keyword_matcher_output])&gt;0))</f>
        <v>7</v>
      </c>
    </row>
    <row r="779" spans="1:17" x14ac:dyDescent="0.25">
      <c r="A779" t="s">
        <v>695</v>
      </c>
      <c r="B779" t="s">
        <v>696</v>
      </c>
      <c r="C779" t="s">
        <v>697</v>
      </c>
      <c r="D779" t="s">
        <v>20</v>
      </c>
      <c r="E779" t="s">
        <v>33</v>
      </c>
      <c r="H779" t="s">
        <v>54</v>
      </c>
      <c r="I779" t="s">
        <v>80</v>
      </c>
      <c r="J779" t="s">
        <v>588</v>
      </c>
      <c r="K779" t="s">
        <v>589</v>
      </c>
      <c r="M779">
        <v>8.14E-2</v>
      </c>
      <c r="N779">
        <v>3</v>
      </c>
      <c r="P779">
        <f>COUNTIFS(keyword_comparison[record_identifier],keyword_comparison[[#This Row],[record_identifier]],keyword_comparison[Review],"&lt;&gt;")</f>
        <v>24</v>
      </c>
      <c r="Q779" cm="1">
        <f t="array" ref="Q779">SUMPRODUCT((keyword_comparison[record_identifier]=keyword_comparison[[#This Row],[record_identifier]])*(LEN(keyword_comparison[keyword_matcher_output])&gt;0))</f>
        <v>7</v>
      </c>
    </row>
    <row r="780" spans="1:17" x14ac:dyDescent="0.25">
      <c r="A780" t="s">
        <v>695</v>
      </c>
      <c r="B780" t="s">
        <v>696</v>
      </c>
      <c r="C780" t="s">
        <v>697</v>
      </c>
      <c r="D780" t="s">
        <v>20</v>
      </c>
      <c r="E780" t="s">
        <v>33</v>
      </c>
      <c r="H780" t="s">
        <v>54</v>
      </c>
      <c r="I780" t="s">
        <v>80</v>
      </c>
      <c r="J780" t="s">
        <v>717</v>
      </c>
      <c r="K780" t="s">
        <v>718</v>
      </c>
      <c r="M780">
        <v>5.8200000000000002E-2</v>
      </c>
      <c r="N780">
        <v>4</v>
      </c>
      <c r="P780">
        <f>COUNTIFS(keyword_comparison[record_identifier],keyword_comparison[[#This Row],[record_identifier]],keyword_comparison[Review],"&lt;&gt;")</f>
        <v>24</v>
      </c>
      <c r="Q780" cm="1">
        <f t="array" ref="Q780">SUMPRODUCT((keyword_comparison[record_identifier]=keyword_comparison[[#This Row],[record_identifier]])*(LEN(keyword_comparison[keyword_matcher_output])&gt;0))</f>
        <v>7</v>
      </c>
    </row>
    <row r="781" spans="1:17" x14ac:dyDescent="0.25">
      <c r="A781" t="s">
        <v>695</v>
      </c>
      <c r="B781" t="s">
        <v>696</v>
      </c>
      <c r="C781" t="s">
        <v>697</v>
      </c>
      <c r="D781" t="s">
        <v>20</v>
      </c>
      <c r="E781" t="s">
        <v>48</v>
      </c>
      <c r="H781" t="s">
        <v>54</v>
      </c>
      <c r="I781" t="s">
        <v>80</v>
      </c>
      <c r="J781" t="s">
        <v>42</v>
      </c>
      <c r="K781" t="s">
        <v>43</v>
      </c>
      <c r="P781">
        <f>COUNTIFS(keyword_comparison[record_identifier],keyword_comparison[[#This Row],[record_identifier]],keyword_comparison[Review],"&lt;&gt;")</f>
        <v>24</v>
      </c>
      <c r="Q781" cm="1">
        <f t="array" ref="Q781">SUMPRODUCT((keyword_comparison[record_identifier]=keyword_comparison[[#This Row],[record_identifier]])*(LEN(keyword_comparison[keyword_matcher_output])&gt;0))</f>
        <v>7</v>
      </c>
    </row>
    <row r="782" spans="1:17" x14ac:dyDescent="0.25">
      <c r="A782" t="s">
        <v>695</v>
      </c>
      <c r="B782" t="s">
        <v>696</v>
      </c>
      <c r="C782" t="s">
        <v>697</v>
      </c>
      <c r="D782" t="s">
        <v>20</v>
      </c>
      <c r="E782" t="s">
        <v>48</v>
      </c>
      <c r="H782" t="s">
        <v>54</v>
      </c>
      <c r="I782" t="s">
        <v>80</v>
      </c>
      <c r="J782" t="s">
        <v>49</v>
      </c>
      <c r="K782" t="s">
        <v>50</v>
      </c>
      <c r="P782">
        <f>COUNTIFS(keyword_comparison[record_identifier],keyword_comparison[[#This Row],[record_identifier]],keyword_comparison[Review],"&lt;&gt;")</f>
        <v>24</v>
      </c>
      <c r="Q782" cm="1">
        <f t="array" ref="Q782">SUMPRODUCT((keyword_comparison[record_identifier]=keyword_comparison[[#This Row],[record_identifier]])*(LEN(keyword_comparison[keyword_matcher_output])&gt;0))</f>
        <v>7</v>
      </c>
    </row>
    <row r="783" spans="1:17" x14ac:dyDescent="0.25">
      <c r="A783" t="s">
        <v>695</v>
      </c>
      <c r="B783" t="s">
        <v>696</v>
      </c>
      <c r="C783" t="s">
        <v>697</v>
      </c>
      <c r="D783" t="s">
        <v>20</v>
      </c>
      <c r="E783" t="s">
        <v>48</v>
      </c>
      <c r="H783" t="s">
        <v>54</v>
      </c>
      <c r="I783" t="s">
        <v>80</v>
      </c>
      <c r="J783" t="s">
        <v>719</v>
      </c>
      <c r="K783" t="s">
        <v>24</v>
      </c>
      <c r="P783">
        <f>COUNTIFS(keyword_comparison[record_identifier],keyword_comparison[[#This Row],[record_identifier]],keyword_comparison[Review],"&lt;&gt;")</f>
        <v>24</v>
      </c>
      <c r="Q783" cm="1">
        <f t="array" ref="Q783">SUMPRODUCT((keyword_comparison[record_identifier]=keyword_comparison[[#This Row],[record_identifier]])*(LEN(keyword_comparison[keyword_matcher_output])&gt;0))</f>
        <v>7</v>
      </c>
    </row>
    <row r="784" spans="1:17" x14ac:dyDescent="0.25">
      <c r="A784" t="s">
        <v>695</v>
      </c>
      <c r="B784" t="s">
        <v>696</v>
      </c>
      <c r="C784" t="s">
        <v>697</v>
      </c>
      <c r="D784" t="s">
        <v>20</v>
      </c>
      <c r="E784" t="s">
        <v>53</v>
      </c>
      <c r="F784" t="s">
        <v>54</v>
      </c>
      <c r="G784" t="s">
        <v>54</v>
      </c>
      <c r="H784" t="s">
        <v>54</v>
      </c>
      <c r="I784" t="s">
        <v>80</v>
      </c>
      <c r="J784" t="s">
        <v>719</v>
      </c>
      <c r="K784" t="s">
        <v>24</v>
      </c>
      <c r="O784">
        <v>1</v>
      </c>
      <c r="P784">
        <f>COUNTIFS(keyword_comparison[record_identifier],keyword_comparison[[#This Row],[record_identifier]],keyword_comparison[Review],"&lt;&gt;")</f>
        <v>24</v>
      </c>
      <c r="Q784" cm="1">
        <f t="array" ref="Q784">SUMPRODUCT((keyword_comparison[record_identifier]=keyword_comparison[[#This Row],[record_identifier]])*(LEN(keyword_comparison[keyword_matcher_output])&gt;0))</f>
        <v>7</v>
      </c>
    </row>
    <row r="785" spans="1:17" x14ac:dyDescent="0.25">
      <c r="A785" t="s">
        <v>695</v>
      </c>
      <c r="B785" t="s">
        <v>696</v>
      </c>
      <c r="C785" t="s">
        <v>697</v>
      </c>
      <c r="D785" t="s">
        <v>20</v>
      </c>
      <c r="E785" t="s">
        <v>53</v>
      </c>
      <c r="F785" t="s">
        <v>54</v>
      </c>
      <c r="G785" t="s">
        <v>54</v>
      </c>
      <c r="H785" t="s">
        <v>54</v>
      </c>
      <c r="I785" t="s">
        <v>80</v>
      </c>
      <c r="J785" t="s">
        <v>717</v>
      </c>
      <c r="K785" t="s">
        <v>718</v>
      </c>
      <c r="O785">
        <v>2</v>
      </c>
      <c r="P785">
        <f>COUNTIFS(keyword_comparison[record_identifier],keyword_comparison[[#This Row],[record_identifier]],keyword_comparison[Review],"&lt;&gt;")</f>
        <v>24</v>
      </c>
      <c r="Q785" cm="1">
        <f t="array" ref="Q785">SUMPRODUCT((keyword_comparison[record_identifier]=keyword_comparison[[#This Row],[record_identifier]])*(LEN(keyword_comparison[keyword_matcher_output])&gt;0))</f>
        <v>7</v>
      </c>
    </row>
    <row r="786" spans="1:17" x14ac:dyDescent="0.25">
      <c r="A786" t="s">
        <v>695</v>
      </c>
      <c r="B786" t="s">
        <v>696</v>
      </c>
      <c r="C786" t="s">
        <v>697</v>
      </c>
      <c r="D786" t="s">
        <v>20</v>
      </c>
      <c r="E786" t="s">
        <v>53</v>
      </c>
      <c r="F786" t="s">
        <v>54</v>
      </c>
      <c r="G786" t="s">
        <v>54</v>
      </c>
      <c r="H786" t="s">
        <v>54</v>
      </c>
      <c r="I786" t="s">
        <v>80</v>
      </c>
      <c r="J786" t="s">
        <v>42</v>
      </c>
      <c r="K786" t="s">
        <v>43</v>
      </c>
      <c r="O786">
        <v>3</v>
      </c>
      <c r="P786">
        <f>COUNTIFS(keyword_comparison[record_identifier],keyword_comparison[[#This Row],[record_identifier]],keyword_comparison[Review],"&lt;&gt;")</f>
        <v>24</v>
      </c>
      <c r="Q786" cm="1">
        <f t="array" ref="Q786">SUMPRODUCT((keyword_comparison[record_identifier]=keyword_comparison[[#This Row],[record_identifier]])*(LEN(keyword_comparison[keyword_matcher_output])&gt;0))</f>
        <v>7</v>
      </c>
    </row>
    <row r="787" spans="1:17" x14ac:dyDescent="0.25">
      <c r="A787" t="s">
        <v>695</v>
      </c>
      <c r="B787" t="s">
        <v>696</v>
      </c>
      <c r="C787" t="s">
        <v>697</v>
      </c>
      <c r="D787" t="s">
        <v>20</v>
      </c>
      <c r="E787" t="s">
        <v>53</v>
      </c>
      <c r="F787" t="s">
        <v>54</v>
      </c>
      <c r="G787" t="s">
        <v>54</v>
      </c>
      <c r="H787" t="s">
        <v>54</v>
      </c>
      <c r="I787" t="s">
        <v>80</v>
      </c>
      <c r="J787" t="s">
        <v>57</v>
      </c>
      <c r="K787" t="s">
        <v>58</v>
      </c>
      <c r="O787">
        <v>4</v>
      </c>
      <c r="P787">
        <f>COUNTIFS(keyword_comparison[record_identifier],keyword_comparison[[#This Row],[record_identifier]],keyword_comparison[Review],"&lt;&gt;")</f>
        <v>24</v>
      </c>
      <c r="Q787" cm="1">
        <f t="array" ref="Q787">SUMPRODUCT((keyword_comparison[record_identifier]=keyword_comparison[[#This Row],[record_identifier]])*(LEN(keyword_comparison[keyword_matcher_output])&gt;0))</f>
        <v>7</v>
      </c>
    </row>
    <row r="788" spans="1:17" x14ac:dyDescent="0.25">
      <c r="A788" t="s">
        <v>695</v>
      </c>
      <c r="B788" t="s">
        <v>696</v>
      </c>
      <c r="C788" t="s">
        <v>697</v>
      </c>
      <c r="D788" t="s">
        <v>20</v>
      </c>
      <c r="E788" t="s">
        <v>53</v>
      </c>
      <c r="F788" t="s">
        <v>54</v>
      </c>
      <c r="G788" t="s">
        <v>54</v>
      </c>
      <c r="H788" t="s">
        <v>54</v>
      </c>
      <c r="I788" t="s">
        <v>80</v>
      </c>
      <c r="J788" t="s">
        <v>720</v>
      </c>
      <c r="K788" t="s">
        <v>721</v>
      </c>
      <c r="O788">
        <v>5</v>
      </c>
      <c r="P788">
        <f>COUNTIFS(keyword_comparison[record_identifier],keyword_comparison[[#This Row],[record_identifier]],keyword_comparison[Review],"&lt;&gt;")</f>
        <v>24</v>
      </c>
      <c r="Q788" cm="1">
        <f t="array" ref="Q788">SUMPRODUCT((keyword_comparison[record_identifier]=keyword_comparison[[#This Row],[record_identifier]])*(LEN(keyword_comparison[keyword_matcher_output])&gt;0))</f>
        <v>7</v>
      </c>
    </row>
    <row r="789" spans="1:17" x14ac:dyDescent="0.25">
      <c r="A789" t="s">
        <v>695</v>
      </c>
      <c r="B789" t="s">
        <v>696</v>
      </c>
      <c r="C789" t="s">
        <v>697</v>
      </c>
      <c r="D789" t="s">
        <v>20</v>
      </c>
      <c r="E789" t="s">
        <v>53</v>
      </c>
      <c r="F789" t="s">
        <v>54</v>
      </c>
      <c r="G789" t="s">
        <v>54</v>
      </c>
      <c r="H789" t="s">
        <v>54</v>
      </c>
      <c r="I789" t="s">
        <v>88</v>
      </c>
      <c r="J789" t="s">
        <v>206</v>
      </c>
      <c r="K789" t="s">
        <v>60</v>
      </c>
      <c r="O789">
        <v>6</v>
      </c>
      <c r="P789">
        <f>COUNTIFS(keyword_comparison[record_identifier],keyword_comparison[[#This Row],[record_identifier]],keyword_comparison[Review],"&lt;&gt;")</f>
        <v>24</v>
      </c>
      <c r="Q789" cm="1">
        <f t="array" ref="Q789">SUMPRODUCT((keyword_comparison[record_identifier]=keyword_comparison[[#This Row],[record_identifier]])*(LEN(keyword_comparison[keyword_matcher_output])&gt;0))</f>
        <v>7</v>
      </c>
    </row>
    <row r="790" spans="1:17" x14ac:dyDescent="0.25">
      <c r="A790" t="s">
        <v>695</v>
      </c>
      <c r="B790" t="s">
        <v>696</v>
      </c>
      <c r="C790" t="s">
        <v>697</v>
      </c>
      <c r="D790" t="s">
        <v>20</v>
      </c>
      <c r="E790" t="s">
        <v>53</v>
      </c>
      <c r="F790" t="s">
        <v>54</v>
      </c>
      <c r="G790" t="s">
        <v>54</v>
      </c>
      <c r="H790" t="s">
        <v>54</v>
      </c>
      <c r="I790" t="s">
        <v>88</v>
      </c>
      <c r="J790" t="s">
        <v>61</v>
      </c>
      <c r="K790" t="s">
        <v>62</v>
      </c>
      <c r="O790">
        <v>7</v>
      </c>
      <c r="P790">
        <f>COUNTIFS(keyword_comparison[record_identifier],keyword_comparison[[#This Row],[record_identifier]],keyword_comparison[Review],"&lt;&gt;")</f>
        <v>24</v>
      </c>
      <c r="Q790" cm="1">
        <f t="array" ref="Q790">SUMPRODUCT((keyword_comparison[record_identifier]=keyword_comparison[[#This Row],[record_identifier]])*(LEN(keyword_comparison[keyword_matcher_output])&gt;0))</f>
        <v>7</v>
      </c>
    </row>
    <row r="791" spans="1:17" x14ac:dyDescent="0.25">
      <c r="A791" t="s">
        <v>695</v>
      </c>
      <c r="B791" t="s">
        <v>696</v>
      </c>
      <c r="C791" t="s">
        <v>697</v>
      </c>
      <c r="D791" t="s">
        <v>20</v>
      </c>
      <c r="E791" t="s">
        <v>53</v>
      </c>
      <c r="F791" t="s">
        <v>54</v>
      </c>
      <c r="G791" t="s">
        <v>54</v>
      </c>
      <c r="H791" t="s">
        <v>54</v>
      </c>
      <c r="I791" t="s">
        <v>88</v>
      </c>
      <c r="J791" t="s">
        <v>89</v>
      </c>
      <c r="K791" t="s">
        <v>90</v>
      </c>
      <c r="O791">
        <v>8</v>
      </c>
      <c r="P791">
        <f>COUNTIFS(keyword_comparison[record_identifier],keyword_comparison[[#This Row],[record_identifier]],keyword_comparison[Review],"&lt;&gt;")</f>
        <v>24</v>
      </c>
      <c r="Q791" cm="1">
        <f t="array" ref="Q791">SUMPRODUCT((keyword_comparison[record_identifier]=keyword_comparison[[#This Row],[record_identifier]])*(LEN(keyword_comparison[keyword_matcher_output])&gt;0))</f>
        <v>7</v>
      </c>
    </row>
    <row r="792" spans="1:17" x14ac:dyDescent="0.25">
      <c r="A792" t="s">
        <v>695</v>
      </c>
      <c r="B792" t="s">
        <v>696</v>
      </c>
      <c r="C792" t="s">
        <v>697</v>
      </c>
      <c r="D792" t="s">
        <v>20</v>
      </c>
      <c r="E792" t="s">
        <v>53</v>
      </c>
      <c r="F792" t="s">
        <v>54</v>
      </c>
      <c r="G792" t="s">
        <v>54</v>
      </c>
      <c r="H792" t="s">
        <v>54</v>
      </c>
      <c r="I792" t="s">
        <v>80</v>
      </c>
      <c r="J792" t="s">
        <v>407</v>
      </c>
      <c r="K792" t="s">
        <v>408</v>
      </c>
      <c r="O792">
        <v>9</v>
      </c>
      <c r="P792">
        <f>COUNTIFS(keyword_comparison[record_identifier],keyword_comparison[[#This Row],[record_identifier]],keyword_comparison[Review],"&lt;&gt;")</f>
        <v>24</v>
      </c>
      <c r="Q792" cm="1">
        <f t="array" ref="Q792">SUMPRODUCT((keyword_comparison[record_identifier]=keyword_comparison[[#This Row],[record_identifier]])*(LEN(keyword_comparison[keyword_matcher_output])&gt;0))</f>
        <v>7</v>
      </c>
    </row>
    <row r="793" spans="1:17" x14ac:dyDescent="0.25">
      <c r="A793" t="s">
        <v>695</v>
      </c>
      <c r="B793" t="s">
        <v>696</v>
      </c>
      <c r="C793" t="s">
        <v>697</v>
      </c>
      <c r="D793" t="s">
        <v>20</v>
      </c>
      <c r="E793" t="s">
        <v>53</v>
      </c>
      <c r="F793" t="s">
        <v>54</v>
      </c>
      <c r="G793" t="s">
        <v>54</v>
      </c>
      <c r="H793" t="s">
        <v>54</v>
      </c>
      <c r="I793" t="s">
        <v>80</v>
      </c>
      <c r="J793" t="s">
        <v>526</v>
      </c>
      <c r="K793" t="s">
        <v>527</v>
      </c>
      <c r="O793">
        <v>10</v>
      </c>
      <c r="P793">
        <f>COUNTIFS(keyword_comparison[record_identifier],keyword_comparison[[#This Row],[record_identifier]],keyword_comparison[Review],"&lt;&gt;")</f>
        <v>24</v>
      </c>
      <c r="Q793" cm="1">
        <f t="array" ref="Q793">SUMPRODUCT((keyword_comparison[record_identifier]=keyword_comparison[[#This Row],[record_identifier]])*(LEN(keyword_comparison[keyword_matcher_output])&gt;0))</f>
        <v>7</v>
      </c>
    </row>
    <row r="794" spans="1:17" x14ac:dyDescent="0.25">
      <c r="A794" t="s">
        <v>722</v>
      </c>
      <c r="B794" t="s">
        <v>723</v>
      </c>
      <c r="C794" t="s">
        <v>724</v>
      </c>
      <c r="D794" t="s">
        <v>725</v>
      </c>
      <c r="E794" t="s">
        <v>33</v>
      </c>
      <c r="H794" t="s">
        <v>54</v>
      </c>
      <c r="J794" t="s">
        <v>726</v>
      </c>
      <c r="K794" t="s">
        <v>438</v>
      </c>
      <c r="M794">
        <v>0.95169999999999999</v>
      </c>
      <c r="N794">
        <v>1</v>
      </c>
      <c r="P794">
        <f>COUNTIFS(keyword_comparison[record_identifier],keyword_comparison[[#This Row],[record_identifier]],keyword_comparison[Review],"&lt;&gt;")</f>
        <v>0</v>
      </c>
      <c r="Q794" cm="1">
        <f t="array" ref="Q794">SUMPRODUCT((keyword_comparison[record_identifier]=keyword_comparison[[#This Row],[record_identifier]])*(LEN(keyword_comparison[keyword_matcher_output])&gt;0))</f>
        <v>0</v>
      </c>
    </row>
    <row r="795" spans="1:17" x14ac:dyDescent="0.25">
      <c r="A795" t="s">
        <v>722</v>
      </c>
      <c r="B795" t="s">
        <v>723</v>
      </c>
      <c r="C795" t="s">
        <v>724</v>
      </c>
      <c r="D795" t="s">
        <v>725</v>
      </c>
      <c r="E795" t="s">
        <v>33</v>
      </c>
      <c r="H795" t="s">
        <v>54</v>
      </c>
      <c r="J795" t="s">
        <v>547</v>
      </c>
      <c r="K795" t="s">
        <v>221</v>
      </c>
      <c r="M795">
        <v>0.77390000000000003</v>
      </c>
      <c r="N795">
        <v>2</v>
      </c>
      <c r="P795">
        <f>COUNTIFS(keyword_comparison[record_identifier],keyword_comparison[[#This Row],[record_identifier]],keyword_comparison[Review],"&lt;&gt;")</f>
        <v>0</v>
      </c>
      <c r="Q795" cm="1">
        <f t="array" ref="Q795">SUMPRODUCT((keyword_comparison[record_identifier]=keyword_comparison[[#This Row],[record_identifier]])*(LEN(keyword_comparison[keyword_matcher_output])&gt;0))</f>
        <v>0</v>
      </c>
    </row>
    <row r="796" spans="1:17" x14ac:dyDescent="0.25">
      <c r="A796" t="s">
        <v>722</v>
      </c>
      <c r="B796" t="s">
        <v>723</v>
      </c>
      <c r="C796" t="s">
        <v>724</v>
      </c>
      <c r="D796" t="s">
        <v>725</v>
      </c>
      <c r="E796" t="s">
        <v>33</v>
      </c>
      <c r="H796" t="s">
        <v>54</v>
      </c>
      <c r="J796" t="s">
        <v>547</v>
      </c>
      <c r="K796" t="s">
        <v>220</v>
      </c>
      <c r="M796">
        <v>0.77390000000000003</v>
      </c>
      <c r="N796">
        <v>3</v>
      </c>
      <c r="P796">
        <f>COUNTIFS(keyword_comparison[record_identifier],keyword_comparison[[#This Row],[record_identifier]],keyword_comparison[Review],"&lt;&gt;")</f>
        <v>0</v>
      </c>
      <c r="Q796" cm="1">
        <f t="array" ref="Q796">SUMPRODUCT((keyword_comparison[record_identifier]=keyword_comparison[[#This Row],[record_identifier]])*(LEN(keyword_comparison[keyword_matcher_output])&gt;0))</f>
        <v>0</v>
      </c>
    </row>
    <row r="797" spans="1:17" x14ac:dyDescent="0.25">
      <c r="A797" t="s">
        <v>722</v>
      </c>
      <c r="B797" t="s">
        <v>723</v>
      </c>
      <c r="C797" t="s">
        <v>724</v>
      </c>
      <c r="D797" t="s">
        <v>725</v>
      </c>
      <c r="E797" t="s">
        <v>33</v>
      </c>
      <c r="H797" t="s">
        <v>54</v>
      </c>
      <c r="J797" t="s">
        <v>266</v>
      </c>
      <c r="K797" t="s">
        <v>194</v>
      </c>
      <c r="M797">
        <v>0.33889999999999998</v>
      </c>
      <c r="N797">
        <v>4</v>
      </c>
      <c r="P797">
        <f>COUNTIFS(keyword_comparison[record_identifier],keyword_comparison[[#This Row],[record_identifier]],keyword_comparison[Review],"&lt;&gt;")</f>
        <v>0</v>
      </c>
      <c r="Q797" cm="1">
        <f t="array" ref="Q797">SUMPRODUCT((keyword_comparison[record_identifier]=keyword_comparison[[#This Row],[record_identifier]])*(LEN(keyword_comparison[keyword_matcher_output])&gt;0))</f>
        <v>0</v>
      </c>
    </row>
    <row r="798" spans="1:17" x14ac:dyDescent="0.25">
      <c r="A798" t="s">
        <v>722</v>
      </c>
      <c r="B798" t="s">
        <v>723</v>
      </c>
      <c r="C798" t="s">
        <v>724</v>
      </c>
      <c r="D798" t="s">
        <v>725</v>
      </c>
      <c r="E798" t="s">
        <v>33</v>
      </c>
      <c r="H798" t="s">
        <v>54</v>
      </c>
      <c r="J798" t="s">
        <v>727</v>
      </c>
      <c r="K798" t="s">
        <v>728</v>
      </c>
      <c r="M798">
        <v>0.26469999999999999</v>
      </c>
      <c r="N798">
        <v>5</v>
      </c>
      <c r="P798">
        <f>COUNTIFS(keyword_comparison[record_identifier],keyword_comparison[[#This Row],[record_identifier]],keyword_comparison[Review],"&lt;&gt;")</f>
        <v>0</v>
      </c>
      <c r="Q798" cm="1">
        <f t="array" ref="Q798">SUMPRODUCT((keyword_comparison[record_identifier]=keyword_comparison[[#This Row],[record_identifier]])*(LEN(keyword_comparison[keyword_matcher_output])&gt;0))</f>
        <v>0</v>
      </c>
    </row>
    <row r="799" spans="1:17" x14ac:dyDescent="0.25">
      <c r="A799" t="s">
        <v>722</v>
      </c>
      <c r="B799" t="s">
        <v>723</v>
      </c>
      <c r="C799" t="s">
        <v>724</v>
      </c>
      <c r="D799" t="s">
        <v>725</v>
      </c>
      <c r="E799" t="s">
        <v>33</v>
      </c>
      <c r="H799" t="s">
        <v>54</v>
      </c>
      <c r="J799" t="s">
        <v>544</v>
      </c>
      <c r="K799" t="s">
        <v>223</v>
      </c>
      <c r="M799">
        <v>0.10580000000000001</v>
      </c>
      <c r="N799">
        <v>6</v>
      </c>
      <c r="P799">
        <f>COUNTIFS(keyword_comparison[record_identifier],keyword_comparison[[#This Row],[record_identifier]],keyword_comparison[Review],"&lt;&gt;")</f>
        <v>0</v>
      </c>
      <c r="Q799" cm="1">
        <f t="array" ref="Q799">SUMPRODUCT((keyword_comparison[record_identifier]=keyword_comparison[[#This Row],[record_identifier]])*(LEN(keyword_comparison[keyword_matcher_output])&gt;0))</f>
        <v>0</v>
      </c>
    </row>
    <row r="800" spans="1:17" x14ac:dyDescent="0.25">
      <c r="A800" t="s">
        <v>722</v>
      </c>
      <c r="B800" t="s">
        <v>723</v>
      </c>
      <c r="C800" t="s">
        <v>724</v>
      </c>
      <c r="D800" t="s">
        <v>725</v>
      </c>
      <c r="E800" t="s">
        <v>33</v>
      </c>
      <c r="H800" t="s">
        <v>54</v>
      </c>
      <c r="J800" t="s">
        <v>248</v>
      </c>
      <c r="K800" t="s">
        <v>249</v>
      </c>
      <c r="M800">
        <v>5.2600000000000001E-2</v>
      </c>
      <c r="N800">
        <v>7</v>
      </c>
      <c r="P800">
        <f>COUNTIFS(keyword_comparison[record_identifier],keyword_comparison[[#This Row],[record_identifier]],keyword_comparison[Review],"&lt;&gt;")</f>
        <v>0</v>
      </c>
      <c r="Q800" cm="1">
        <f t="array" ref="Q800">SUMPRODUCT((keyword_comparison[record_identifier]=keyword_comparison[[#This Row],[record_identifier]])*(LEN(keyword_comparison[keyword_matcher_output])&gt;0))</f>
        <v>0</v>
      </c>
    </row>
    <row r="801" spans="1:17" x14ac:dyDescent="0.25">
      <c r="A801" t="s">
        <v>722</v>
      </c>
      <c r="B801" t="s">
        <v>723</v>
      </c>
      <c r="C801" t="s">
        <v>724</v>
      </c>
      <c r="D801" t="s">
        <v>725</v>
      </c>
      <c r="E801" t="s">
        <v>53</v>
      </c>
      <c r="F801" t="s">
        <v>54</v>
      </c>
      <c r="G801" t="s">
        <v>54</v>
      </c>
      <c r="H801" t="s">
        <v>54</v>
      </c>
      <c r="J801" t="s">
        <v>547</v>
      </c>
      <c r="K801" t="s">
        <v>221</v>
      </c>
      <c r="O801">
        <v>1</v>
      </c>
      <c r="P801">
        <f>COUNTIFS(keyword_comparison[record_identifier],keyword_comparison[[#This Row],[record_identifier]],keyword_comparison[Review],"&lt;&gt;")</f>
        <v>0</v>
      </c>
      <c r="Q801" cm="1">
        <f t="array" ref="Q801">SUMPRODUCT((keyword_comparison[record_identifier]=keyword_comparison[[#This Row],[record_identifier]])*(LEN(keyword_comparison[keyword_matcher_output])&gt;0))</f>
        <v>0</v>
      </c>
    </row>
    <row r="802" spans="1:17" x14ac:dyDescent="0.25">
      <c r="A802" t="s">
        <v>722</v>
      </c>
      <c r="B802" t="s">
        <v>723</v>
      </c>
      <c r="C802" t="s">
        <v>724</v>
      </c>
      <c r="D802" t="s">
        <v>725</v>
      </c>
      <c r="E802" t="s">
        <v>53</v>
      </c>
      <c r="F802" t="s">
        <v>54</v>
      </c>
      <c r="G802" t="s">
        <v>54</v>
      </c>
      <c r="H802" t="s">
        <v>54</v>
      </c>
      <c r="J802" t="s">
        <v>547</v>
      </c>
      <c r="K802" t="s">
        <v>220</v>
      </c>
      <c r="O802">
        <v>1</v>
      </c>
      <c r="P802">
        <f>COUNTIFS(keyword_comparison[record_identifier],keyword_comparison[[#This Row],[record_identifier]],keyword_comparison[Review],"&lt;&gt;")</f>
        <v>0</v>
      </c>
      <c r="Q802" cm="1">
        <f t="array" ref="Q802">SUMPRODUCT((keyword_comparison[record_identifier]=keyword_comparison[[#This Row],[record_identifier]])*(LEN(keyword_comparison[keyword_matcher_output])&gt;0))</f>
        <v>0</v>
      </c>
    </row>
    <row r="803" spans="1:17" x14ac:dyDescent="0.25">
      <c r="A803" t="s">
        <v>722</v>
      </c>
      <c r="B803" t="s">
        <v>723</v>
      </c>
      <c r="C803" t="s">
        <v>724</v>
      </c>
      <c r="D803" t="s">
        <v>725</v>
      </c>
      <c r="E803" t="s">
        <v>53</v>
      </c>
      <c r="F803" t="s">
        <v>54</v>
      </c>
      <c r="G803" t="s">
        <v>54</v>
      </c>
      <c r="H803" t="s">
        <v>54</v>
      </c>
      <c r="J803" t="s">
        <v>548</v>
      </c>
      <c r="K803" t="s">
        <v>234</v>
      </c>
      <c r="O803">
        <v>2</v>
      </c>
      <c r="P803">
        <f>COUNTIFS(keyword_comparison[record_identifier],keyword_comparison[[#This Row],[record_identifier]],keyword_comparison[Review],"&lt;&gt;")</f>
        <v>0</v>
      </c>
      <c r="Q803" cm="1">
        <f t="array" ref="Q803">SUMPRODUCT((keyword_comparison[record_identifier]=keyword_comparison[[#This Row],[record_identifier]])*(LEN(keyword_comparison[keyword_matcher_output])&gt;0))</f>
        <v>0</v>
      </c>
    </row>
    <row r="804" spans="1:17" x14ac:dyDescent="0.25">
      <c r="A804" t="s">
        <v>722</v>
      </c>
      <c r="B804" t="s">
        <v>723</v>
      </c>
      <c r="C804" t="s">
        <v>724</v>
      </c>
      <c r="D804" t="s">
        <v>725</v>
      </c>
      <c r="E804" t="s">
        <v>53</v>
      </c>
      <c r="F804" t="s">
        <v>54</v>
      </c>
      <c r="G804" t="s">
        <v>54</v>
      </c>
      <c r="H804" t="s">
        <v>54</v>
      </c>
      <c r="J804" t="s">
        <v>248</v>
      </c>
      <c r="K804" t="s">
        <v>249</v>
      </c>
      <c r="O804">
        <v>3</v>
      </c>
      <c r="P804">
        <f>COUNTIFS(keyword_comparison[record_identifier],keyword_comparison[[#This Row],[record_identifier]],keyword_comparison[Review],"&lt;&gt;")</f>
        <v>0</v>
      </c>
      <c r="Q804" cm="1">
        <f t="array" ref="Q804">SUMPRODUCT((keyword_comparison[record_identifier]=keyword_comparison[[#This Row],[record_identifier]])*(LEN(keyword_comparison[keyword_matcher_output])&gt;0))</f>
        <v>0</v>
      </c>
    </row>
    <row r="805" spans="1:17" x14ac:dyDescent="0.25">
      <c r="A805" t="s">
        <v>722</v>
      </c>
      <c r="B805" t="s">
        <v>723</v>
      </c>
      <c r="C805" t="s">
        <v>724</v>
      </c>
      <c r="D805" t="s">
        <v>725</v>
      </c>
      <c r="E805" t="s">
        <v>53</v>
      </c>
      <c r="F805" t="s">
        <v>54</v>
      </c>
      <c r="G805" t="s">
        <v>54</v>
      </c>
      <c r="H805" t="s">
        <v>54</v>
      </c>
      <c r="J805" t="s">
        <v>103</v>
      </c>
      <c r="K805" t="s">
        <v>104</v>
      </c>
      <c r="O805">
        <v>4</v>
      </c>
      <c r="P805">
        <f>COUNTIFS(keyword_comparison[record_identifier],keyword_comparison[[#This Row],[record_identifier]],keyword_comparison[Review],"&lt;&gt;")</f>
        <v>0</v>
      </c>
      <c r="Q805" cm="1">
        <f t="array" ref="Q805">SUMPRODUCT((keyword_comparison[record_identifier]=keyword_comparison[[#This Row],[record_identifier]])*(LEN(keyword_comparison[keyword_matcher_output])&gt;0))</f>
        <v>0</v>
      </c>
    </row>
    <row r="806" spans="1:17" x14ac:dyDescent="0.25">
      <c r="A806" t="s">
        <v>722</v>
      </c>
      <c r="B806" t="s">
        <v>723</v>
      </c>
      <c r="C806" t="s">
        <v>724</v>
      </c>
      <c r="D806" t="s">
        <v>725</v>
      </c>
      <c r="E806" t="s">
        <v>53</v>
      </c>
      <c r="F806" t="s">
        <v>54</v>
      </c>
      <c r="G806" t="s">
        <v>54</v>
      </c>
      <c r="H806" t="s">
        <v>54</v>
      </c>
      <c r="J806" t="s">
        <v>266</v>
      </c>
      <c r="K806" t="s">
        <v>194</v>
      </c>
      <c r="O806">
        <v>6</v>
      </c>
      <c r="P806">
        <f>COUNTIFS(keyword_comparison[record_identifier],keyword_comparison[[#This Row],[record_identifier]],keyword_comparison[Review],"&lt;&gt;")</f>
        <v>0</v>
      </c>
      <c r="Q806" cm="1">
        <f t="array" ref="Q806">SUMPRODUCT((keyword_comparison[record_identifier]=keyword_comparison[[#This Row],[record_identifier]])*(LEN(keyword_comparison[keyword_matcher_output])&gt;0))</f>
        <v>0</v>
      </c>
    </row>
    <row r="807" spans="1:17" x14ac:dyDescent="0.25">
      <c r="A807" t="s">
        <v>722</v>
      </c>
      <c r="B807" t="s">
        <v>723</v>
      </c>
      <c r="C807" t="s">
        <v>724</v>
      </c>
      <c r="D807" t="s">
        <v>725</v>
      </c>
      <c r="E807" t="s">
        <v>53</v>
      </c>
      <c r="F807" t="s">
        <v>54</v>
      </c>
      <c r="G807" t="s">
        <v>54</v>
      </c>
      <c r="H807" t="s">
        <v>54</v>
      </c>
      <c r="J807" t="s">
        <v>480</v>
      </c>
      <c r="K807" t="s">
        <v>280</v>
      </c>
      <c r="O807">
        <v>7</v>
      </c>
      <c r="P807">
        <f>COUNTIFS(keyword_comparison[record_identifier],keyword_comparison[[#This Row],[record_identifier]],keyword_comparison[Review],"&lt;&gt;")</f>
        <v>0</v>
      </c>
      <c r="Q807" cm="1">
        <f t="array" ref="Q807">SUMPRODUCT((keyword_comparison[record_identifier]=keyword_comparison[[#This Row],[record_identifier]])*(LEN(keyword_comparison[keyword_matcher_output])&gt;0))</f>
        <v>0</v>
      </c>
    </row>
    <row r="808" spans="1:17" x14ac:dyDescent="0.25">
      <c r="A808" t="s">
        <v>722</v>
      </c>
      <c r="B808" t="s">
        <v>723</v>
      </c>
      <c r="C808" t="s">
        <v>724</v>
      </c>
      <c r="D808" t="s">
        <v>725</v>
      </c>
      <c r="E808" t="s">
        <v>53</v>
      </c>
      <c r="F808" t="s">
        <v>54</v>
      </c>
      <c r="G808" t="s">
        <v>54</v>
      </c>
      <c r="H808" t="s">
        <v>54</v>
      </c>
      <c r="J808" t="s">
        <v>55</v>
      </c>
      <c r="K808" t="s">
        <v>56</v>
      </c>
      <c r="O808">
        <v>8</v>
      </c>
      <c r="P808">
        <f>COUNTIFS(keyword_comparison[record_identifier],keyword_comparison[[#This Row],[record_identifier]],keyword_comparison[Review],"&lt;&gt;")</f>
        <v>0</v>
      </c>
      <c r="Q808" cm="1">
        <f t="array" ref="Q808">SUMPRODUCT((keyword_comparison[record_identifier]=keyword_comparison[[#This Row],[record_identifier]])*(LEN(keyword_comparison[keyword_matcher_output])&gt;0))</f>
        <v>0</v>
      </c>
    </row>
    <row r="809" spans="1:17" x14ac:dyDescent="0.25">
      <c r="A809" t="s">
        <v>722</v>
      </c>
      <c r="B809" t="s">
        <v>723</v>
      </c>
      <c r="C809" t="s">
        <v>724</v>
      </c>
      <c r="D809" t="s">
        <v>725</v>
      </c>
      <c r="E809" t="s">
        <v>53</v>
      </c>
      <c r="F809" t="s">
        <v>54</v>
      </c>
      <c r="G809" t="s">
        <v>54</v>
      </c>
      <c r="H809" t="s">
        <v>54</v>
      </c>
      <c r="J809" t="s">
        <v>519</v>
      </c>
      <c r="K809" t="s">
        <v>520</v>
      </c>
      <c r="O809">
        <v>9</v>
      </c>
      <c r="P809">
        <f>COUNTIFS(keyword_comparison[record_identifier],keyword_comparison[[#This Row],[record_identifier]],keyword_comparison[Review],"&lt;&gt;")</f>
        <v>0</v>
      </c>
      <c r="Q809" cm="1">
        <f t="array" ref="Q809">SUMPRODUCT((keyword_comparison[record_identifier]=keyword_comparison[[#This Row],[record_identifier]])*(LEN(keyword_comparison[keyword_matcher_output])&gt;0))</f>
        <v>0</v>
      </c>
    </row>
    <row r="810" spans="1:17" x14ac:dyDescent="0.25">
      <c r="A810" t="s">
        <v>729</v>
      </c>
      <c r="B810" t="s">
        <v>730</v>
      </c>
      <c r="C810" t="s">
        <v>731</v>
      </c>
      <c r="D810" t="s">
        <v>20</v>
      </c>
      <c r="E810" t="s">
        <v>33</v>
      </c>
      <c r="H810" t="s">
        <v>54</v>
      </c>
      <c r="J810" t="s">
        <v>732</v>
      </c>
      <c r="K810" t="s">
        <v>733</v>
      </c>
      <c r="M810">
        <v>0.4592</v>
      </c>
      <c r="N810">
        <v>1</v>
      </c>
      <c r="P810">
        <f>COUNTIFS(keyword_comparison[record_identifier],keyword_comparison[[#This Row],[record_identifier]],keyword_comparison[Review],"&lt;&gt;")</f>
        <v>0</v>
      </c>
      <c r="Q810" cm="1">
        <f t="array" ref="Q810">SUMPRODUCT((keyword_comparison[record_identifier]=keyword_comparison[[#This Row],[record_identifier]])*(LEN(keyword_comparison[keyword_matcher_output])&gt;0))</f>
        <v>0</v>
      </c>
    </row>
    <row r="811" spans="1:17" x14ac:dyDescent="0.25">
      <c r="A811" t="s">
        <v>729</v>
      </c>
      <c r="B811" t="s">
        <v>730</v>
      </c>
      <c r="C811" t="s">
        <v>731</v>
      </c>
      <c r="D811" t="s">
        <v>20</v>
      </c>
      <c r="E811" t="s">
        <v>33</v>
      </c>
      <c r="H811" t="s">
        <v>54</v>
      </c>
      <c r="J811" t="s">
        <v>193</v>
      </c>
      <c r="K811" t="s">
        <v>194</v>
      </c>
      <c r="M811">
        <v>0.30859999999999999</v>
      </c>
      <c r="N811">
        <v>2</v>
      </c>
      <c r="P811">
        <f>COUNTIFS(keyword_comparison[record_identifier],keyword_comparison[[#This Row],[record_identifier]],keyword_comparison[Review],"&lt;&gt;")</f>
        <v>0</v>
      </c>
      <c r="Q811" cm="1">
        <f t="array" ref="Q811">SUMPRODUCT((keyword_comparison[record_identifier]=keyword_comparison[[#This Row],[record_identifier]])*(LEN(keyword_comparison[keyword_matcher_output])&gt;0))</f>
        <v>0</v>
      </c>
    </row>
    <row r="812" spans="1:17" x14ac:dyDescent="0.25">
      <c r="A812" t="s">
        <v>729</v>
      </c>
      <c r="B812" t="s">
        <v>730</v>
      </c>
      <c r="C812" t="s">
        <v>731</v>
      </c>
      <c r="D812" t="s">
        <v>20</v>
      </c>
      <c r="E812" t="s">
        <v>33</v>
      </c>
      <c r="H812" t="s">
        <v>54</v>
      </c>
      <c r="J812" t="s">
        <v>647</v>
      </c>
      <c r="K812" t="s">
        <v>648</v>
      </c>
      <c r="M812">
        <v>0.16200000000000001</v>
      </c>
      <c r="N812">
        <v>3</v>
      </c>
      <c r="P812">
        <f>COUNTIFS(keyword_comparison[record_identifier],keyword_comparison[[#This Row],[record_identifier]],keyword_comparison[Review],"&lt;&gt;")</f>
        <v>0</v>
      </c>
      <c r="Q812" cm="1">
        <f t="array" ref="Q812">SUMPRODUCT((keyword_comparison[record_identifier]=keyword_comparison[[#This Row],[record_identifier]])*(LEN(keyword_comparison[keyword_matcher_output])&gt;0))</f>
        <v>0</v>
      </c>
    </row>
    <row r="813" spans="1:17" x14ac:dyDescent="0.25">
      <c r="A813" t="s">
        <v>729</v>
      </c>
      <c r="B813" t="s">
        <v>730</v>
      </c>
      <c r="C813" t="s">
        <v>731</v>
      </c>
      <c r="D813" t="s">
        <v>20</v>
      </c>
      <c r="E813" t="s">
        <v>33</v>
      </c>
      <c r="H813" t="s">
        <v>54</v>
      </c>
      <c r="J813" t="s">
        <v>437</v>
      </c>
      <c r="K813" t="s">
        <v>438</v>
      </c>
      <c r="M813">
        <v>9.2700000000000005E-2</v>
      </c>
      <c r="N813">
        <v>4</v>
      </c>
      <c r="P813">
        <f>COUNTIFS(keyword_comparison[record_identifier],keyword_comparison[[#This Row],[record_identifier]],keyword_comparison[Review],"&lt;&gt;")</f>
        <v>0</v>
      </c>
      <c r="Q813" cm="1">
        <f t="array" ref="Q813">SUMPRODUCT((keyword_comparison[record_identifier]=keyword_comparison[[#This Row],[record_identifier]])*(LEN(keyword_comparison[keyword_matcher_output])&gt;0))</f>
        <v>0</v>
      </c>
    </row>
    <row r="814" spans="1:17" x14ac:dyDescent="0.25">
      <c r="A814" t="s">
        <v>729</v>
      </c>
      <c r="B814" t="s">
        <v>730</v>
      </c>
      <c r="C814" t="s">
        <v>731</v>
      </c>
      <c r="D814" t="s">
        <v>20</v>
      </c>
      <c r="E814" t="s">
        <v>33</v>
      </c>
      <c r="H814" t="s">
        <v>54</v>
      </c>
      <c r="J814" t="s">
        <v>734</v>
      </c>
      <c r="K814" t="s">
        <v>735</v>
      </c>
      <c r="M814">
        <v>6.5299999999999997E-2</v>
      </c>
      <c r="N814">
        <v>5</v>
      </c>
      <c r="P814">
        <f>COUNTIFS(keyword_comparison[record_identifier],keyword_comparison[[#This Row],[record_identifier]],keyword_comparison[Review],"&lt;&gt;")</f>
        <v>0</v>
      </c>
      <c r="Q814" cm="1">
        <f t="array" ref="Q814">SUMPRODUCT((keyword_comparison[record_identifier]=keyword_comparison[[#This Row],[record_identifier]])*(LEN(keyword_comparison[keyword_matcher_output])&gt;0))</f>
        <v>0</v>
      </c>
    </row>
    <row r="815" spans="1:17" x14ac:dyDescent="0.25">
      <c r="A815" t="s">
        <v>729</v>
      </c>
      <c r="B815" t="s">
        <v>730</v>
      </c>
      <c r="C815" t="s">
        <v>731</v>
      </c>
      <c r="D815" t="s">
        <v>20</v>
      </c>
      <c r="E815" t="s">
        <v>48</v>
      </c>
      <c r="H815" t="s">
        <v>54</v>
      </c>
      <c r="J815" t="s">
        <v>84</v>
      </c>
      <c r="K815" t="s">
        <v>85</v>
      </c>
      <c r="P815">
        <f>COUNTIFS(keyword_comparison[record_identifier],keyword_comparison[[#This Row],[record_identifier]],keyword_comparison[Review],"&lt;&gt;")</f>
        <v>0</v>
      </c>
      <c r="Q815" cm="1">
        <f t="array" ref="Q815">SUMPRODUCT((keyword_comparison[record_identifier]=keyword_comparison[[#This Row],[record_identifier]])*(LEN(keyword_comparison[keyword_matcher_output])&gt;0))</f>
        <v>0</v>
      </c>
    </row>
    <row r="816" spans="1:17" x14ac:dyDescent="0.25">
      <c r="A816" t="s">
        <v>729</v>
      </c>
      <c r="B816" t="s">
        <v>730</v>
      </c>
      <c r="C816" t="s">
        <v>731</v>
      </c>
      <c r="D816" t="s">
        <v>20</v>
      </c>
      <c r="E816" t="s">
        <v>48</v>
      </c>
      <c r="H816" t="s">
        <v>54</v>
      </c>
      <c r="J816" t="s">
        <v>736</v>
      </c>
      <c r="K816" t="s">
        <v>708</v>
      </c>
      <c r="P816">
        <f>COUNTIFS(keyword_comparison[record_identifier],keyword_comparison[[#This Row],[record_identifier]],keyword_comparison[Review],"&lt;&gt;")</f>
        <v>0</v>
      </c>
      <c r="Q816" cm="1">
        <f t="array" ref="Q816">SUMPRODUCT((keyword_comparison[record_identifier]=keyword_comparison[[#This Row],[record_identifier]])*(LEN(keyword_comparison[keyword_matcher_output])&gt;0))</f>
        <v>0</v>
      </c>
    </row>
    <row r="817" spans="1:17" x14ac:dyDescent="0.25">
      <c r="A817" t="s">
        <v>729</v>
      </c>
      <c r="B817" t="s">
        <v>730</v>
      </c>
      <c r="C817" t="s">
        <v>731</v>
      </c>
      <c r="D817" t="s">
        <v>20</v>
      </c>
      <c r="E817" t="s">
        <v>48</v>
      </c>
      <c r="H817" t="s">
        <v>54</v>
      </c>
      <c r="J817" t="s">
        <v>57</v>
      </c>
      <c r="K817" t="s">
        <v>58</v>
      </c>
      <c r="P817">
        <f>COUNTIFS(keyword_comparison[record_identifier],keyword_comparison[[#This Row],[record_identifier]],keyword_comparison[Review],"&lt;&gt;")</f>
        <v>0</v>
      </c>
      <c r="Q817" cm="1">
        <f t="array" ref="Q817">SUMPRODUCT((keyword_comparison[record_identifier]=keyword_comparison[[#This Row],[record_identifier]])*(LEN(keyword_comparison[keyword_matcher_output])&gt;0))</f>
        <v>0</v>
      </c>
    </row>
    <row r="818" spans="1:17" x14ac:dyDescent="0.25">
      <c r="A818" t="s">
        <v>729</v>
      </c>
      <c r="B818" t="s">
        <v>730</v>
      </c>
      <c r="C818" t="s">
        <v>731</v>
      </c>
      <c r="D818" t="s">
        <v>20</v>
      </c>
      <c r="E818" t="s">
        <v>48</v>
      </c>
      <c r="H818" t="s">
        <v>54</v>
      </c>
      <c r="J818" t="s">
        <v>42</v>
      </c>
      <c r="K818" t="s">
        <v>43</v>
      </c>
      <c r="P818">
        <f>COUNTIFS(keyword_comparison[record_identifier],keyword_comparison[[#This Row],[record_identifier]],keyword_comparison[Review],"&lt;&gt;")</f>
        <v>0</v>
      </c>
      <c r="Q818" cm="1">
        <f t="array" ref="Q818">SUMPRODUCT((keyword_comparison[record_identifier]=keyword_comparison[[#This Row],[record_identifier]])*(LEN(keyword_comparison[keyword_matcher_output])&gt;0))</f>
        <v>0</v>
      </c>
    </row>
    <row r="819" spans="1:17" x14ac:dyDescent="0.25">
      <c r="A819" t="s">
        <v>729</v>
      </c>
      <c r="B819" t="s">
        <v>730</v>
      </c>
      <c r="C819" t="s">
        <v>731</v>
      </c>
      <c r="D819" t="s">
        <v>20</v>
      </c>
      <c r="E819" t="s">
        <v>48</v>
      </c>
      <c r="H819" t="s">
        <v>54</v>
      </c>
      <c r="J819" t="s">
        <v>549</v>
      </c>
      <c r="K819" t="s">
        <v>203</v>
      </c>
      <c r="P819">
        <f>COUNTIFS(keyword_comparison[record_identifier],keyword_comparison[[#This Row],[record_identifier]],keyword_comparison[Review],"&lt;&gt;")</f>
        <v>0</v>
      </c>
      <c r="Q819" cm="1">
        <f t="array" ref="Q819">SUMPRODUCT((keyword_comparison[record_identifier]=keyword_comparison[[#This Row],[record_identifier]])*(LEN(keyword_comparison[keyword_matcher_output])&gt;0))</f>
        <v>0</v>
      </c>
    </row>
    <row r="820" spans="1:17" x14ac:dyDescent="0.25">
      <c r="A820" t="s">
        <v>729</v>
      </c>
      <c r="B820" t="s">
        <v>730</v>
      </c>
      <c r="C820" t="s">
        <v>731</v>
      </c>
      <c r="D820" t="s">
        <v>20</v>
      </c>
      <c r="E820" t="s">
        <v>53</v>
      </c>
      <c r="F820" t="s">
        <v>54</v>
      </c>
      <c r="G820" t="s">
        <v>54</v>
      </c>
      <c r="H820" t="s">
        <v>54</v>
      </c>
      <c r="J820" t="s">
        <v>736</v>
      </c>
      <c r="K820" t="s">
        <v>708</v>
      </c>
      <c r="O820">
        <v>1</v>
      </c>
      <c r="P820">
        <f>COUNTIFS(keyword_comparison[record_identifier],keyword_comparison[[#This Row],[record_identifier]],keyword_comparison[Review],"&lt;&gt;")</f>
        <v>0</v>
      </c>
      <c r="Q820" cm="1">
        <f t="array" ref="Q820">SUMPRODUCT((keyword_comparison[record_identifier]=keyword_comparison[[#This Row],[record_identifier]])*(LEN(keyword_comparison[keyword_matcher_output])&gt;0))</f>
        <v>0</v>
      </c>
    </row>
    <row r="821" spans="1:17" x14ac:dyDescent="0.25">
      <c r="A821" t="s">
        <v>729</v>
      </c>
      <c r="B821" t="s">
        <v>730</v>
      </c>
      <c r="C821" t="s">
        <v>731</v>
      </c>
      <c r="D821" t="s">
        <v>20</v>
      </c>
      <c r="E821" t="s">
        <v>53</v>
      </c>
      <c r="F821" t="s">
        <v>54</v>
      </c>
      <c r="G821" t="s">
        <v>54</v>
      </c>
      <c r="H821" t="s">
        <v>54</v>
      </c>
      <c r="J821" t="s">
        <v>57</v>
      </c>
      <c r="K821" t="s">
        <v>58</v>
      </c>
      <c r="O821">
        <v>2</v>
      </c>
      <c r="P821">
        <f>COUNTIFS(keyword_comparison[record_identifier],keyword_comparison[[#This Row],[record_identifier]],keyword_comparison[Review],"&lt;&gt;")</f>
        <v>0</v>
      </c>
      <c r="Q821" cm="1">
        <f t="array" ref="Q821">SUMPRODUCT((keyword_comparison[record_identifier]=keyword_comparison[[#This Row],[record_identifier]])*(LEN(keyword_comparison[keyword_matcher_output])&gt;0))</f>
        <v>0</v>
      </c>
    </row>
    <row r="822" spans="1:17" x14ac:dyDescent="0.25">
      <c r="A822" t="s">
        <v>729</v>
      </c>
      <c r="B822" t="s">
        <v>730</v>
      </c>
      <c r="C822" t="s">
        <v>731</v>
      </c>
      <c r="D822" t="s">
        <v>20</v>
      </c>
      <c r="E822" t="s">
        <v>53</v>
      </c>
      <c r="F822" t="s">
        <v>54</v>
      </c>
      <c r="G822" t="s">
        <v>54</v>
      </c>
      <c r="H822" t="s">
        <v>54</v>
      </c>
      <c r="J822" t="s">
        <v>84</v>
      </c>
      <c r="K822" t="s">
        <v>85</v>
      </c>
      <c r="O822">
        <v>3</v>
      </c>
      <c r="P822">
        <f>COUNTIFS(keyword_comparison[record_identifier],keyword_comparison[[#This Row],[record_identifier]],keyword_comparison[Review],"&lt;&gt;")</f>
        <v>0</v>
      </c>
      <c r="Q822" cm="1">
        <f t="array" ref="Q822">SUMPRODUCT((keyword_comparison[record_identifier]=keyword_comparison[[#This Row],[record_identifier]])*(LEN(keyword_comparison[keyword_matcher_output])&gt;0))</f>
        <v>0</v>
      </c>
    </row>
    <row r="823" spans="1:17" x14ac:dyDescent="0.25">
      <c r="A823" t="s">
        <v>737</v>
      </c>
      <c r="B823" t="s">
        <v>738</v>
      </c>
      <c r="C823" t="s">
        <v>739</v>
      </c>
      <c r="D823" t="s">
        <v>740</v>
      </c>
      <c r="E823" t="s">
        <v>21</v>
      </c>
      <c r="F823" t="s">
        <v>741</v>
      </c>
      <c r="G823" t="s">
        <v>699</v>
      </c>
      <c r="H823" t="s">
        <v>54</v>
      </c>
      <c r="J823" s="2"/>
      <c r="P823">
        <f>COUNTIFS(keyword_comparison[record_identifier],keyword_comparison[[#This Row],[record_identifier]],keyword_comparison[Review],"&lt;&gt;")</f>
        <v>20</v>
      </c>
      <c r="Q823" cm="1">
        <f t="array" ref="Q823">SUMPRODUCT((keyword_comparison[record_identifier]=keyword_comparison[[#This Row],[record_identifier]])*(LEN(keyword_comparison[keyword_matcher_output])&gt;0))</f>
        <v>4</v>
      </c>
    </row>
    <row r="824" spans="1:17" x14ac:dyDescent="0.25">
      <c r="A824" t="s">
        <v>737</v>
      </c>
      <c r="B824" t="s">
        <v>738</v>
      </c>
      <c r="C824" t="s">
        <v>739</v>
      </c>
      <c r="D824" t="s">
        <v>740</v>
      </c>
      <c r="E824" t="s">
        <v>21</v>
      </c>
      <c r="F824" t="s">
        <v>742</v>
      </c>
      <c r="G824" t="s">
        <v>460</v>
      </c>
      <c r="H824" t="s">
        <v>54</v>
      </c>
      <c r="P824">
        <f>COUNTIFS(keyword_comparison[record_identifier],keyword_comparison[[#This Row],[record_identifier]],keyword_comparison[Review],"&lt;&gt;")</f>
        <v>20</v>
      </c>
      <c r="Q824" cm="1">
        <f t="array" ref="Q824">SUMPRODUCT((keyword_comparison[record_identifier]=keyword_comparison[[#This Row],[record_identifier]])*(LEN(keyword_comparison[keyword_matcher_output])&gt;0))</f>
        <v>4</v>
      </c>
    </row>
    <row r="825" spans="1:17" x14ac:dyDescent="0.25">
      <c r="A825" t="s">
        <v>737</v>
      </c>
      <c r="B825" t="s">
        <v>738</v>
      </c>
      <c r="C825" t="s">
        <v>739</v>
      </c>
      <c r="D825" t="s">
        <v>740</v>
      </c>
      <c r="E825" t="s">
        <v>21</v>
      </c>
      <c r="F825" t="s">
        <v>743</v>
      </c>
      <c r="G825" t="s">
        <v>460</v>
      </c>
      <c r="H825" t="s">
        <v>54</v>
      </c>
      <c r="P825">
        <f>COUNTIFS(keyword_comparison[record_identifier],keyword_comparison[[#This Row],[record_identifier]],keyword_comparison[Review],"&lt;&gt;")</f>
        <v>20</v>
      </c>
      <c r="Q825" cm="1">
        <f t="array" ref="Q825">SUMPRODUCT((keyword_comparison[record_identifier]=keyword_comparison[[#This Row],[record_identifier]])*(LEN(keyword_comparison[keyword_matcher_output])&gt;0))</f>
        <v>4</v>
      </c>
    </row>
    <row r="826" spans="1:17" x14ac:dyDescent="0.25">
      <c r="A826" t="s">
        <v>737</v>
      </c>
      <c r="B826" t="s">
        <v>738</v>
      </c>
      <c r="C826" t="s">
        <v>739</v>
      </c>
      <c r="D826" t="s">
        <v>740</v>
      </c>
      <c r="E826" t="s">
        <v>21</v>
      </c>
      <c r="F826" t="s">
        <v>744</v>
      </c>
      <c r="G826" t="s">
        <v>460</v>
      </c>
      <c r="H826" t="s">
        <v>745</v>
      </c>
      <c r="I826" t="s">
        <v>88</v>
      </c>
      <c r="P826">
        <f>COUNTIFS(keyword_comparison[record_identifier],keyword_comparison[[#This Row],[record_identifier]],keyword_comparison[Review],"&lt;&gt;")</f>
        <v>20</v>
      </c>
      <c r="Q826" cm="1">
        <f t="array" ref="Q826">SUMPRODUCT((keyword_comparison[record_identifier]=keyword_comparison[[#This Row],[record_identifier]])*(LEN(keyword_comparison[keyword_matcher_output])&gt;0))</f>
        <v>4</v>
      </c>
    </row>
    <row r="827" spans="1:17" x14ac:dyDescent="0.25">
      <c r="A827" t="s">
        <v>737</v>
      </c>
      <c r="B827" t="s">
        <v>738</v>
      </c>
      <c r="C827" t="s">
        <v>739</v>
      </c>
      <c r="D827" t="s">
        <v>740</v>
      </c>
      <c r="E827" t="s">
        <v>21</v>
      </c>
      <c r="F827" t="s">
        <v>746</v>
      </c>
      <c r="G827" t="s">
        <v>460</v>
      </c>
      <c r="H827" t="s">
        <v>54</v>
      </c>
      <c r="P827">
        <f>COUNTIFS(keyword_comparison[record_identifier],keyword_comparison[[#This Row],[record_identifier]],keyword_comparison[Review],"&lt;&gt;")</f>
        <v>20</v>
      </c>
      <c r="Q827" cm="1">
        <f t="array" ref="Q827">SUMPRODUCT((keyword_comparison[record_identifier]=keyword_comparison[[#This Row],[record_identifier]])*(LEN(keyword_comparison[keyword_matcher_output])&gt;0))</f>
        <v>4</v>
      </c>
    </row>
    <row r="828" spans="1:17" x14ac:dyDescent="0.25">
      <c r="A828" t="s">
        <v>737</v>
      </c>
      <c r="B828" t="s">
        <v>738</v>
      </c>
      <c r="C828" t="s">
        <v>739</v>
      </c>
      <c r="D828" t="s">
        <v>740</v>
      </c>
      <c r="E828" t="s">
        <v>21</v>
      </c>
      <c r="F828" t="s">
        <v>747</v>
      </c>
      <c r="G828" t="s">
        <v>460</v>
      </c>
      <c r="H828" t="s">
        <v>54</v>
      </c>
      <c r="P828">
        <f>COUNTIFS(keyword_comparison[record_identifier],keyword_comparison[[#This Row],[record_identifier]],keyword_comparison[Review],"&lt;&gt;")</f>
        <v>20</v>
      </c>
      <c r="Q828" cm="1">
        <f t="array" ref="Q828">SUMPRODUCT((keyword_comparison[record_identifier]=keyword_comparison[[#This Row],[record_identifier]])*(LEN(keyword_comparison[keyword_matcher_output])&gt;0))</f>
        <v>4</v>
      </c>
    </row>
    <row r="829" spans="1:17" x14ac:dyDescent="0.25">
      <c r="A829" t="s">
        <v>737</v>
      </c>
      <c r="B829" t="s">
        <v>738</v>
      </c>
      <c r="C829" t="s">
        <v>739</v>
      </c>
      <c r="D829" t="s">
        <v>740</v>
      </c>
      <c r="E829" t="s">
        <v>21</v>
      </c>
      <c r="F829" t="s">
        <v>748</v>
      </c>
      <c r="G829" t="s">
        <v>460</v>
      </c>
      <c r="H829" t="s">
        <v>54</v>
      </c>
      <c r="P829">
        <f>COUNTIFS(keyword_comparison[record_identifier],keyword_comparison[[#This Row],[record_identifier]],keyword_comparison[Review],"&lt;&gt;")</f>
        <v>20</v>
      </c>
      <c r="Q829" cm="1">
        <f t="array" ref="Q829">SUMPRODUCT((keyword_comparison[record_identifier]=keyword_comparison[[#This Row],[record_identifier]])*(LEN(keyword_comparison[keyword_matcher_output])&gt;0))</f>
        <v>4</v>
      </c>
    </row>
    <row r="830" spans="1:17" x14ac:dyDescent="0.25">
      <c r="A830" t="s">
        <v>737</v>
      </c>
      <c r="B830" t="s">
        <v>738</v>
      </c>
      <c r="C830" t="s">
        <v>739</v>
      </c>
      <c r="D830" t="s">
        <v>740</v>
      </c>
      <c r="E830" t="s">
        <v>21</v>
      </c>
      <c r="F830" t="s">
        <v>749</v>
      </c>
      <c r="G830" t="s">
        <v>460</v>
      </c>
      <c r="H830" t="s">
        <v>54</v>
      </c>
      <c r="P830">
        <f>COUNTIFS(keyword_comparison[record_identifier],keyword_comparison[[#This Row],[record_identifier]],keyword_comparison[Review],"&lt;&gt;")</f>
        <v>20</v>
      </c>
      <c r="Q830" cm="1">
        <f t="array" ref="Q830">SUMPRODUCT((keyword_comparison[record_identifier]=keyword_comparison[[#This Row],[record_identifier]])*(LEN(keyword_comparison[keyword_matcher_output])&gt;0))</f>
        <v>4</v>
      </c>
    </row>
    <row r="831" spans="1:17" x14ac:dyDescent="0.25">
      <c r="A831" t="s">
        <v>737</v>
      </c>
      <c r="B831" t="s">
        <v>738</v>
      </c>
      <c r="C831" t="s">
        <v>739</v>
      </c>
      <c r="D831" t="s">
        <v>740</v>
      </c>
      <c r="E831" t="s">
        <v>21</v>
      </c>
      <c r="F831" t="s">
        <v>750</v>
      </c>
      <c r="G831" t="s">
        <v>460</v>
      </c>
      <c r="H831" t="s">
        <v>54</v>
      </c>
      <c r="P831">
        <f>COUNTIFS(keyword_comparison[record_identifier],keyword_comparison[[#This Row],[record_identifier]],keyword_comparison[Review],"&lt;&gt;")</f>
        <v>20</v>
      </c>
      <c r="Q831" cm="1">
        <f t="array" ref="Q831">SUMPRODUCT((keyword_comparison[record_identifier]=keyword_comparison[[#This Row],[record_identifier]])*(LEN(keyword_comparison[keyword_matcher_output])&gt;0))</f>
        <v>4</v>
      </c>
    </row>
    <row r="832" spans="1:17" x14ac:dyDescent="0.25">
      <c r="A832" t="s">
        <v>737</v>
      </c>
      <c r="B832" t="s">
        <v>738</v>
      </c>
      <c r="C832" t="s">
        <v>739</v>
      </c>
      <c r="D832" t="s">
        <v>740</v>
      </c>
      <c r="E832" t="s">
        <v>21</v>
      </c>
      <c r="F832" t="s">
        <v>751</v>
      </c>
      <c r="G832" t="s">
        <v>752</v>
      </c>
      <c r="H832" t="s">
        <v>54</v>
      </c>
      <c r="P832">
        <f>COUNTIFS(keyword_comparison[record_identifier],keyword_comparison[[#This Row],[record_identifier]],keyword_comparison[Review],"&lt;&gt;")</f>
        <v>20</v>
      </c>
      <c r="Q832" cm="1">
        <f t="array" ref="Q832">SUMPRODUCT((keyword_comparison[record_identifier]=keyword_comparison[[#This Row],[record_identifier]])*(LEN(keyword_comparison[keyword_matcher_output])&gt;0))</f>
        <v>4</v>
      </c>
    </row>
    <row r="833" spans="1:17" x14ac:dyDescent="0.25">
      <c r="A833" t="s">
        <v>737</v>
      </c>
      <c r="B833" t="s">
        <v>738</v>
      </c>
      <c r="C833" t="s">
        <v>739</v>
      </c>
      <c r="D833" t="s">
        <v>740</v>
      </c>
      <c r="E833" t="s">
        <v>21</v>
      </c>
      <c r="F833" t="s">
        <v>753</v>
      </c>
      <c r="G833" t="s">
        <v>752</v>
      </c>
      <c r="H833" t="s">
        <v>54</v>
      </c>
      <c r="P833">
        <f>COUNTIFS(keyword_comparison[record_identifier],keyword_comparison[[#This Row],[record_identifier]],keyword_comparison[Review],"&lt;&gt;")</f>
        <v>20</v>
      </c>
      <c r="Q833" cm="1">
        <f t="array" ref="Q833">SUMPRODUCT((keyword_comparison[record_identifier]=keyword_comparison[[#This Row],[record_identifier]])*(LEN(keyword_comparison[keyword_matcher_output])&gt;0))</f>
        <v>4</v>
      </c>
    </row>
    <row r="834" spans="1:17" x14ac:dyDescent="0.25">
      <c r="A834" t="s">
        <v>737</v>
      </c>
      <c r="B834" t="s">
        <v>738</v>
      </c>
      <c r="C834" t="s">
        <v>739</v>
      </c>
      <c r="D834" t="s">
        <v>740</v>
      </c>
      <c r="E834" t="s">
        <v>21</v>
      </c>
      <c r="F834" t="s">
        <v>754</v>
      </c>
      <c r="G834" t="s">
        <v>752</v>
      </c>
      <c r="H834" t="s">
        <v>54</v>
      </c>
      <c r="P834">
        <f>COUNTIFS(keyword_comparison[record_identifier],keyword_comparison[[#This Row],[record_identifier]],keyword_comparison[Review],"&lt;&gt;")</f>
        <v>20</v>
      </c>
      <c r="Q834" cm="1">
        <f t="array" ref="Q834">SUMPRODUCT((keyword_comparison[record_identifier]=keyword_comparison[[#This Row],[record_identifier]])*(LEN(keyword_comparison[keyword_matcher_output])&gt;0))</f>
        <v>4</v>
      </c>
    </row>
    <row r="835" spans="1:17" x14ac:dyDescent="0.25">
      <c r="A835" t="s">
        <v>737</v>
      </c>
      <c r="B835" t="s">
        <v>738</v>
      </c>
      <c r="C835" t="s">
        <v>739</v>
      </c>
      <c r="D835" t="s">
        <v>740</v>
      </c>
      <c r="E835" t="s">
        <v>21</v>
      </c>
      <c r="F835" t="s">
        <v>755</v>
      </c>
      <c r="G835" t="s">
        <v>752</v>
      </c>
      <c r="H835" t="s">
        <v>54</v>
      </c>
      <c r="P835">
        <f>COUNTIFS(keyword_comparison[record_identifier],keyword_comparison[[#This Row],[record_identifier]],keyword_comparison[Review],"&lt;&gt;")</f>
        <v>20</v>
      </c>
      <c r="Q835" cm="1">
        <f t="array" ref="Q835">SUMPRODUCT((keyword_comparison[record_identifier]=keyword_comparison[[#This Row],[record_identifier]])*(LEN(keyword_comparison[keyword_matcher_output])&gt;0))</f>
        <v>4</v>
      </c>
    </row>
    <row r="836" spans="1:17" x14ac:dyDescent="0.25">
      <c r="A836" t="s">
        <v>737</v>
      </c>
      <c r="B836" t="s">
        <v>738</v>
      </c>
      <c r="C836" t="s">
        <v>739</v>
      </c>
      <c r="D836" t="s">
        <v>740</v>
      </c>
      <c r="E836" t="s">
        <v>21</v>
      </c>
      <c r="F836" t="s">
        <v>756</v>
      </c>
      <c r="G836" t="s">
        <v>460</v>
      </c>
      <c r="H836" t="s">
        <v>85</v>
      </c>
      <c r="I836" t="s">
        <v>80</v>
      </c>
      <c r="P836">
        <f>COUNTIFS(keyword_comparison[record_identifier],keyword_comparison[[#This Row],[record_identifier]],keyword_comparison[Review],"&lt;&gt;")</f>
        <v>20</v>
      </c>
      <c r="Q836" cm="1">
        <f t="array" ref="Q836">SUMPRODUCT((keyword_comparison[record_identifier]=keyword_comparison[[#This Row],[record_identifier]])*(LEN(keyword_comparison[keyword_matcher_output])&gt;0))</f>
        <v>4</v>
      </c>
    </row>
    <row r="837" spans="1:17" x14ac:dyDescent="0.25">
      <c r="A837" t="s">
        <v>737</v>
      </c>
      <c r="B837" t="s">
        <v>738</v>
      </c>
      <c r="C837" t="s">
        <v>739</v>
      </c>
      <c r="D837" t="s">
        <v>740</v>
      </c>
      <c r="E837" t="s">
        <v>21</v>
      </c>
      <c r="F837" t="s">
        <v>84</v>
      </c>
      <c r="G837" t="s">
        <v>460</v>
      </c>
      <c r="H837" t="s">
        <v>85</v>
      </c>
      <c r="I837" t="s">
        <v>80</v>
      </c>
      <c r="P837">
        <f>COUNTIFS(keyword_comparison[record_identifier],keyword_comparison[[#This Row],[record_identifier]],keyword_comparison[Review],"&lt;&gt;")</f>
        <v>20</v>
      </c>
      <c r="Q837" cm="1">
        <f t="array" ref="Q837">SUMPRODUCT((keyword_comparison[record_identifier]=keyword_comparison[[#This Row],[record_identifier]])*(LEN(keyword_comparison[keyword_matcher_output])&gt;0))</f>
        <v>4</v>
      </c>
    </row>
    <row r="838" spans="1:17" x14ac:dyDescent="0.25">
      <c r="A838" t="s">
        <v>737</v>
      </c>
      <c r="B838" t="s">
        <v>738</v>
      </c>
      <c r="C838" t="s">
        <v>739</v>
      </c>
      <c r="D838" t="s">
        <v>740</v>
      </c>
      <c r="E838" t="s">
        <v>21</v>
      </c>
      <c r="F838" t="s">
        <v>757</v>
      </c>
      <c r="G838" t="s">
        <v>460</v>
      </c>
      <c r="H838" t="s">
        <v>622</v>
      </c>
      <c r="I838" t="s">
        <v>80</v>
      </c>
      <c r="P838">
        <f>COUNTIFS(keyword_comparison[record_identifier],keyword_comparison[[#This Row],[record_identifier]],keyword_comparison[Review],"&lt;&gt;")</f>
        <v>20</v>
      </c>
      <c r="Q838" cm="1">
        <f t="array" ref="Q838">SUMPRODUCT((keyword_comparison[record_identifier]=keyword_comparison[[#This Row],[record_identifier]])*(LEN(keyword_comparison[keyword_matcher_output])&gt;0))</f>
        <v>4</v>
      </c>
    </row>
    <row r="839" spans="1:17" x14ac:dyDescent="0.25">
      <c r="A839" t="s">
        <v>737</v>
      </c>
      <c r="B839" t="s">
        <v>738</v>
      </c>
      <c r="C839" t="s">
        <v>739</v>
      </c>
      <c r="D839" t="s">
        <v>740</v>
      </c>
      <c r="E839" t="s">
        <v>33</v>
      </c>
      <c r="H839" t="s">
        <v>54</v>
      </c>
      <c r="I839" t="s">
        <v>80</v>
      </c>
      <c r="J839" t="s">
        <v>621</v>
      </c>
      <c r="K839" t="s">
        <v>622</v>
      </c>
      <c r="M839">
        <v>0.61450000000000005</v>
      </c>
      <c r="N839">
        <v>1</v>
      </c>
      <c r="P839">
        <f>COUNTIFS(keyword_comparison[record_identifier],keyword_comparison[[#This Row],[record_identifier]],keyword_comparison[Review],"&lt;&gt;")</f>
        <v>20</v>
      </c>
      <c r="Q839" cm="1">
        <f t="array" ref="Q839">SUMPRODUCT((keyword_comparison[record_identifier]=keyword_comparison[[#This Row],[record_identifier]])*(LEN(keyword_comparison[keyword_matcher_output])&gt;0))</f>
        <v>4</v>
      </c>
    </row>
    <row r="840" spans="1:17" x14ac:dyDescent="0.25">
      <c r="A840" t="s">
        <v>737</v>
      </c>
      <c r="B840" t="s">
        <v>738</v>
      </c>
      <c r="C840" t="s">
        <v>739</v>
      </c>
      <c r="D840" t="s">
        <v>740</v>
      </c>
      <c r="E840" t="s">
        <v>33</v>
      </c>
      <c r="H840" t="s">
        <v>54</v>
      </c>
      <c r="I840" t="s">
        <v>80</v>
      </c>
      <c r="J840" t="s">
        <v>638</v>
      </c>
      <c r="K840" t="s">
        <v>639</v>
      </c>
      <c r="M840">
        <v>0.3947</v>
      </c>
      <c r="N840">
        <v>2</v>
      </c>
      <c r="P840">
        <f>COUNTIFS(keyword_comparison[record_identifier],keyword_comparison[[#This Row],[record_identifier]],keyword_comparison[Review],"&lt;&gt;")</f>
        <v>20</v>
      </c>
      <c r="Q840" cm="1">
        <f t="array" ref="Q840">SUMPRODUCT((keyword_comparison[record_identifier]=keyword_comparison[[#This Row],[record_identifier]])*(LEN(keyword_comparison[keyword_matcher_output])&gt;0))</f>
        <v>4</v>
      </c>
    </row>
    <row r="841" spans="1:17" x14ac:dyDescent="0.25">
      <c r="A841" t="s">
        <v>737</v>
      </c>
      <c r="B841" t="s">
        <v>738</v>
      </c>
      <c r="C841" t="s">
        <v>739</v>
      </c>
      <c r="D841" t="s">
        <v>740</v>
      </c>
      <c r="E841" t="s">
        <v>33</v>
      </c>
      <c r="H841" t="s">
        <v>54</v>
      </c>
      <c r="I841" t="s">
        <v>80</v>
      </c>
      <c r="J841" t="s">
        <v>632</v>
      </c>
      <c r="K841" t="s">
        <v>633</v>
      </c>
      <c r="M841">
        <v>0.28210000000000002</v>
      </c>
      <c r="N841">
        <v>3</v>
      </c>
      <c r="P841">
        <f>COUNTIFS(keyword_comparison[record_identifier],keyword_comparison[[#This Row],[record_identifier]],keyword_comparison[Review],"&lt;&gt;")</f>
        <v>20</v>
      </c>
      <c r="Q841" cm="1">
        <f t="array" ref="Q841">SUMPRODUCT((keyword_comparison[record_identifier]=keyword_comparison[[#This Row],[record_identifier]])*(LEN(keyword_comparison[keyword_matcher_output])&gt;0))</f>
        <v>4</v>
      </c>
    </row>
    <row r="842" spans="1:17" x14ac:dyDescent="0.25">
      <c r="A842" t="s">
        <v>737</v>
      </c>
      <c r="B842" t="s">
        <v>738</v>
      </c>
      <c r="C842" t="s">
        <v>739</v>
      </c>
      <c r="D842" t="s">
        <v>740</v>
      </c>
      <c r="E842" t="s">
        <v>33</v>
      </c>
      <c r="H842" t="s">
        <v>54</v>
      </c>
      <c r="I842" t="s">
        <v>80</v>
      </c>
      <c r="J842" t="s">
        <v>758</v>
      </c>
      <c r="K842" t="s">
        <v>759</v>
      </c>
      <c r="M842">
        <v>0.25650000000000001</v>
      </c>
      <c r="N842">
        <v>4</v>
      </c>
      <c r="P842">
        <f>COUNTIFS(keyword_comparison[record_identifier],keyword_comparison[[#This Row],[record_identifier]],keyword_comparison[Review],"&lt;&gt;")</f>
        <v>20</v>
      </c>
      <c r="Q842" cm="1">
        <f t="array" ref="Q842">SUMPRODUCT((keyword_comparison[record_identifier]=keyword_comparison[[#This Row],[record_identifier]])*(LEN(keyword_comparison[keyword_matcher_output])&gt;0))</f>
        <v>4</v>
      </c>
    </row>
    <row r="843" spans="1:17" x14ac:dyDescent="0.25">
      <c r="A843" t="s">
        <v>737</v>
      </c>
      <c r="B843" t="s">
        <v>738</v>
      </c>
      <c r="C843" t="s">
        <v>739</v>
      </c>
      <c r="D843" t="s">
        <v>740</v>
      </c>
      <c r="E843" t="s">
        <v>33</v>
      </c>
      <c r="H843" t="s">
        <v>54</v>
      </c>
      <c r="I843" t="s">
        <v>88</v>
      </c>
      <c r="J843" t="s">
        <v>630</v>
      </c>
      <c r="K843" t="s">
        <v>631</v>
      </c>
      <c r="M843">
        <v>0.1888</v>
      </c>
      <c r="N843">
        <v>5</v>
      </c>
      <c r="P843">
        <f>COUNTIFS(keyword_comparison[record_identifier],keyword_comparison[[#This Row],[record_identifier]],keyword_comparison[Review],"&lt;&gt;")</f>
        <v>20</v>
      </c>
      <c r="Q843" cm="1">
        <f t="array" ref="Q843">SUMPRODUCT((keyword_comparison[record_identifier]=keyword_comparison[[#This Row],[record_identifier]])*(LEN(keyword_comparison[keyword_matcher_output])&gt;0))</f>
        <v>4</v>
      </c>
    </row>
    <row r="844" spans="1:17" ht="20.25" customHeight="1" x14ac:dyDescent="0.25">
      <c r="A844" t="s">
        <v>737</v>
      </c>
      <c r="B844" t="s">
        <v>738</v>
      </c>
      <c r="C844" s="3" t="s">
        <v>739</v>
      </c>
      <c r="D844" t="s">
        <v>740</v>
      </c>
      <c r="E844" t="s">
        <v>33</v>
      </c>
      <c r="H844" t="s">
        <v>54</v>
      </c>
      <c r="I844" t="s">
        <v>88</v>
      </c>
      <c r="J844" t="s">
        <v>760</v>
      </c>
      <c r="K844" t="s">
        <v>761</v>
      </c>
      <c r="M844">
        <v>0.10390000000000001</v>
      </c>
      <c r="N844">
        <v>6</v>
      </c>
      <c r="P844">
        <f>COUNTIFS(keyword_comparison[record_identifier],keyword_comparison[[#This Row],[record_identifier]],keyword_comparison[Review],"&lt;&gt;")</f>
        <v>20</v>
      </c>
      <c r="Q844" cm="1">
        <f t="array" ref="Q844">SUMPRODUCT((keyword_comparison[record_identifier]=keyword_comparison[[#This Row],[record_identifier]])*(LEN(keyword_comparison[keyword_matcher_output])&gt;0))</f>
        <v>4</v>
      </c>
    </row>
    <row r="845" spans="1:17" x14ac:dyDescent="0.25">
      <c r="A845" t="s">
        <v>737</v>
      </c>
      <c r="B845" t="s">
        <v>738</v>
      </c>
      <c r="C845" t="s">
        <v>739</v>
      </c>
      <c r="D845" t="s">
        <v>740</v>
      </c>
      <c r="E845" t="s">
        <v>33</v>
      </c>
      <c r="H845" t="s">
        <v>54</v>
      </c>
      <c r="I845" t="s">
        <v>80</v>
      </c>
      <c r="J845" t="s">
        <v>640</v>
      </c>
      <c r="K845" t="s">
        <v>641</v>
      </c>
      <c r="M845">
        <v>6.9099999999999995E-2</v>
      </c>
      <c r="N845">
        <v>7</v>
      </c>
      <c r="P845">
        <f>COUNTIFS(keyword_comparison[record_identifier],keyword_comparison[[#This Row],[record_identifier]],keyword_comparison[Review],"&lt;&gt;")</f>
        <v>20</v>
      </c>
      <c r="Q845" cm="1">
        <f t="array" ref="Q845">SUMPRODUCT((keyword_comparison[record_identifier]=keyword_comparison[[#This Row],[record_identifier]])*(LEN(keyword_comparison[keyword_matcher_output])&gt;0))</f>
        <v>4</v>
      </c>
    </row>
    <row r="846" spans="1:17" x14ac:dyDescent="0.25">
      <c r="A846" t="s">
        <v>737</v>
      </c>
      <c r="B846" t="s">
        <v>738</v>
      </c>
      <c r="C846" t="s">
        <v>739</v>
      </c>
      <c r="D846" t="s">
        <v>740</v>
      </c>
      <c r="E846" t="s">
        <v>53</v>
      </c>
      <c r="F846" t="s">
        <v>54</v>
      </c>
      <c r="G846" t="s">
        <v>54</v>
      </c>
      <c r="H846" t="s">
        <v>54</v>
      </c>
      <c r="I846" t="s">
        <v>80</v>
      </c>
      <c r="J846" t="s">
        <v>642</v>
      </c>
      <c r="K846" t="s">
        <v>622</v>
      </c>
      <c r="O846">
        <v>1</v>
      </c>
      <c r="P846">
        <f>COUNTIFS(keyword_comparison[record_identifier],keyword_comparison[[#This Row],[record_identifier]],keyword_comparison[Review],"&lt;&gt;")</f>
        <v>20</v>
      </c>
      <c r="Q846" cm="1">
        <f t="array" ref="Q846">SUMPRODUCT((keyword_comparison[record_identifier]=keyword_comparison[[#This Row],[record_identifier]])*(LEN(keyword_comparison[keyword_matcher_output])&gt;0))</f>
        <v>4</v>
      </c>
    </row>
    <row r="847" spans="1:17" x14ac:dyDescent="0.25">
      <c r="A847" t="s">
        <v>737</v>
      </c>
      <c r="B847" t="s">
        <v>738</v>
      </c>
      <c r="C847" t="s">
        <v>739</v>
      </c>
      <c r="D847" t="s">
        <v>740</v>
      </c>
      <c r="E847" t="s">
        <v>53</v>
      </c>
      <c r="F847" t="s">
        <v>54</v>
      </c>
      <c r="G847" t="s">
        <v>54</v>
      </c>
      <c r="H847" t="s">
        <v>54</v>
      </c>
      <c r="I847" t="s">
        <v>88</v>
      </c>
      <c r="J847" t="s">
        <v>657</v>
      </c>
      <c r="K847" t="s">
        <v>658</v>
      </c>
      <c r="O847">
        <v>3</v>
      </c>
      <c r="P847">
        <f>COUNTIFS(keyword_comparison[record_identifier],keyword_comparison[[#This Row],[record_identifier]],keyword_comparison[Review],"&lt;&gt;")</f>
        <v>20</v>
      </c>
      <c r="Q847" cm="1">
        <f t="array" ref="Q847">SUMPRODUCT((keyword_comparison[record_identifier]=keyword_comparison[[#This Row],[record_identifier]])*(LEN(keyword_comparison[keyword_matcher_output])&gt;0))</f>
        <v>4</v>
      </c>
    </row>
    <row r="848" spans="1:17" x14ac:dyDescent="0.25">
      <c r="A848" t="s">
        <v>737</v>
      </c>
      <c r="B848" t="s">
        <v>738</v>
      </c>
      <c r="C848" t="s">
        <v>739</v>
      </c>
      <c r="D848" t="s">
        <v>740</v>
      </c>
      <c r="E848" t="s">
        <v>53</v>
      </c>
      <c r="F848" t="s">
        <v>54</v>
      </c>
      <c r="G848" t="s">
        <v>54</v>
      </c>
      <c r="H848" t="s">
        <v>54</v>
      </c>
      <c r="I848" t="s">
        <v>80</v>
      </c>
      <c r="J848" t="s">
        <v>762</v>
      </c>
      <c r="K848" t="s">
        <v>169</v>
      </c>
      <c r="O848">
        <v>4</v>
      </c>
      <c r="P848">
        <f>COUNTIFS(keyword_comparison[record_identifier],keyword_comparison[[#This Row],[record_identifier]],keyword_comparison[Review],"&lt;&gt;")</f>
        <v>20</v>
      </c>
      <c r="Q848" cm="1">
        <f t="array" ref="Q848">SUMPRODUCT((keyword_comparison[record_identifier]=keyword_comparison[[#This Row],[record_identifier]])*(LEN(keyword_comparison[keyword_matcher_output])&gt;0))</f>
        <v>4</v>
      </c>
    </row>
    <row r="849" spans="1:17" x14ac:dyDescent="0.25">
      <c r="A849" t="s">
        <v>737</v>
      </c>
      <c r="B849" t="s">
        <v>738</v>
      </c>
      <c r="C849" t="s">
        <v>739</v>
      </c>
      <c r="D849" t="s">
        <v>740</v>
      </c>
      <c r="E849" t="s">
        <v>53</v>
      </c>
      <c r="F849" t="s">
        <v>54</v>
      </c>
      <c r="G849" t="s">
        <v>54</v>
      </c>
      <c r="H849" t="s">
        <v>54</v>
      </c>
      <c r="I849" t="s">
        <v>80</v>
      </c>
      <c r="J849" t="s">
        <v>651</v>
      </c>
      <c r="K849" t="s">
        <v>652</v>
      </c>
      <c r="O849">
        <v>5</v>
      </c>
      <c r="P849">
        <f>COUNTIFS(keyword_comparison[record_identifier],keyword_comparison[[#This Row],[record_identifier]],keyword_comparison[Review],"&lt;&gt;")</f>
        <v>20</v>
      </c>
      <c r="Q849" cm="1">
        <f t="array" ref="Q849">SUMPRODUCT((keyword_comparison[record_identifier]=keyword_comparison[[#This Row],[record_identifier]])*(LEN(keyword_comparison[keyword_matcher_output])&gt;0))</f>
        <v>4</v>
      </c>
    </row>
    <row r="850" spans="1:17" x14ac:dyDescent="0.25">
      <c r="A850" t="s">
        <v>737</v>
      </c>
      <c r="B850" t="s">
        <v>738</v>
      </c>
      <c r="C850" t="s">
        <v>739</v>
      </c>
      <c r="D850" t="s">
        <v>740</v>
      </c>
      <c r="E850" t="s">
        <v>53</v>
      </c>
      <c r="F850" t="s">
        <v>54</v>
      </c>
      <c r="G850" t="s">
        <v>54</v>
      </c>
      <c r="H850" t="s">
        <v>54</v>
      </c>
      <c r="I850" t="s">
        <v>80</v>
      </c>
      <c r="J850" t="s">
        <v>638</v>
      </c>
      <c r="K850" t="s">
        <v>639</v>
      </c>
      <c r="O850">
        <v>7</v>
      </c>
      <c r="P850">
        <f>COUNTIFS(keyword_comparison[record_identifier],keyword_comparison[[#This Row],[record_identifier]],keyword_comparison[Review],"&lt;&gt;")</f>
        <v>20</v>
      </c>
      <c r="Q850" cm="1">
        <f t="array" ref="Q850">SUMPRODUCT((keyword_comparison[record_identifier]=keyword_comparison[[#This Row],[record_identifier]])*(LEN(keyword_comparison[keyword_matcher_output])&gt;0))</f>
        <v>4</v>
      </c>
    </row>
    <row r="851" spans="1:17" x14ac:dyDescent="0.25">
      <c r="A851" t="s">
        <v>737</v>
      </c>
      <c r="B851" t="s">
        <v>738</v>
      </c>
      <c r="C851" t="s">
        <v>739</v>
      </c>
      <c r="D851" t="s">
        <v>740</v>
      </c>
      <c r="E851" t="s">
        <v>53</v>
      </c>
      <c r="F851" t="s">
        <v>54</v>
      </c>
      <c r="G851" t="s">
        <v>54</v>
      </c>
      <c r="H851" t="s">
        <v>54</v>
      </c>
      <c r="I851" t="s">
        <v>80</v>
      </c>
      <c r="J851" t="s">
        <v>758</v>
      </c>
      <c r="K851" t="s">
        <v>759</v>
      </c>
      <c r="O851">
        <v>8</v>
      </c>
      <c r="P851">
        <f>COUNTIFS(keyword_comparison[record_identifier],keyword_comparison[[#This Row],[record_identifier]],keyword_comparison[Review],"&lt;&gt;")</f>
        <v>20</v>
      </c>
      <c r="Q851" cm="1">
        <f t="array" ref="Q851">SUMPRODUCT((keyword_comparison[record_identifier]=keyword_comparison[[#This Row],[record_identifier]])*(LEN(keyword_comparison[keyword_matcher_output])&gt;0))</f>
        <v>4</v>
      </c>
    </row>
    <row r="852" spans="1:17" x14ac:dyDescent="0.25">
      <c r="A852" t="s">
        <v>737</v>
      </c>
      <c r="B852" t="s">
        <v>738</v>
      </c>
      <c r="C852" t="s">
        <v>739</v>
      </c>
      <c r="D852" t="s">
        <v>740</v>
      </c>
      <c r="E852" t="s">
        <v>53</v>
      </c>
      <c r="F852" t="s">
        <v>54</v>
      </c>
      <c r="G852" t="s">
        <v>54</v>
      </c>
      <c r="H852" t="s">
        <v>54</v>
      </c>
      <c r="I852" t="s">
        <v>80</v>
      </c>
      <c r="J852" t="s">
        <v>646</v>
      </c>
      <c r="K852" t="s">
        <v>644</v>
      </c>
      <c r="O852">
        <v>9</v>
      </c>
      <c r="P852">
        <f>COUNTIFS(keyword_comparison[record_identifier],keyword_comparison[[#This Row],[record_identifier]],keyword_comparison[Review],"&lt;&gt;")</f>
        <v>20</v>
      </c>
      <c r="Q852" cm="1">
        <f t="array" ref="Q852">SUMPRODUCT((keyword_comparison[record_identifier]=keyword_comparison[[#This Row],[record_identifier]])*(LEN(keyword_comparison[keyword_matcher_output])&gt;0))</f>
        <v>4</v>
      </c>
    </row>
    <row r="853" spans="1:17" x14ac:dyDescent="0.25">
      <c r="A853" t="s">
        <v>737</v>
      </c>
      <c r="B853" t="s">
        <v>738</v>
      </c>
      <c r="C853" t="s">
        <v>739</v>
      </c>
      <c r="D853" t="s">
        <v>740</v>
      </c>
      <c r="E853" t="s">
        <v>53</v>
      </c>
      <c r="F853" t="s">
        <v>54</v>
      </c>
      <c r="G853" t="s">
        <v>54</v>
      </c>
      <c r="H853" t="s">
        <v>54</v>
      </c>
      <c r="I853" t="s">
        <v>80</v>
      </c>
      <c r="J853" t="s">
        <v>646</v>
      </c>
      <c r="K853" t="s">
        <v>645</v>
      </c>
      <c r="O853">
        <v>9</v>
      </c>
      <c r="P853">
        <f>COUNTIFS(keyword_comparison[record_identifier],keyword_comparison[[#This Row],[record_identifier]],keyword_comparison[Review],"&lt;&gt;")</f>
        <v>20</v>
      </c>
      <c r="Q853" cm="1">
        <f t="array" ref="Q853">SUMPRODUCT((keyword_comparison[record_identifier]=keyword_comparison[[#This Row],[record_identifier]])*(LEN(keyword_comparison[keyword_matcher_output])&gt;0))</f>
        <v>4</v>
      </c>
    </row>
    <row r="854" spans="1:17" x14ac:dyDescent="0.25">
      <c r="A854" t="s">
        <v>737</v>
      </c>
      <c r="B854" t="s">
        <v>738</v>
      </c>
      <c r="C854" t="s">
        <v>739</v>
      </c>
      <c r="D854" t="s">
        <v>740</v>
      </c>
      <c r="E854" t="s">
        <v>53</v>
      </c>
      <c r="F854" t="s">
        <v>54</v>
      </c>
      <c r="G854" t="s">
        <v>54</v>
      </c>
      <c r="H854" t="s">
        <v>54</v>
      </c>
      <c r="I854" t="s">
        <v>88</v>
      </c>
      <c r="J854" t="s">
        <v>632</v>
      </c>
      <c r="K854" t="s">
        <v>633</v>
      </c>
      <c r="O854">
        <v>10</v>
      </c>
      <c r="P854">
        <f>COUNTIFS(keyword_comparison[record_identifier],keyword_comparison[[#This Row],[record_identifier]],keyword_comparison[Review],"&lt;&gt;")</f>
        <v>20</v>
      </c>
      <c r="Q854" cm="1">
        <f t="array" ref="Q854">SUMPRODUCT((keyword_comparison[record_identifier]=keyword_comparison[[#This Row],[record_identifier]])*(LEN(keyword_comparison[keyword_matcher_output])&gt;0))</f>
        <v>4</v>
      </c>
    </row>
    <row r="855" spans="1:17" x14ac:dyDescent="0.25">
      <c r="A855" t="s">
        <v>763</v>
      </c>
      <c r="B855" t="s">
        <v>764</v>
      </c>
      <c r="C855" t="s">
        <v>765</v>
      </c>
      <c r="D855" t="s">
        <v>20</v>
      </c>
      <c r="E855" t="s">
        <v>33</v>
      </c>
      <c r="H855" t="s">
        <v>54</v>
      </c>
      <c r="J855" t="s">
        <v>766</v>
      </c>
      <c r="K855" t="s">
        <v>183</v>
      </c>
      <c r="M855">
        <v>0.92010000000000003</v>
      </c>
      <c r="N855">
        <v>1</v>
      </c>
      <c r="P855">
        <f>COUNTIFS(keyword_comparison[record_identifier],keyword_comparison[[#This Row],[record_identifier]],keyword_comparison[Review],"&lt;&gt;")</f>
        <v>0</v>
      </c>
      <c r="Q855" cm="1">
        <f t="array" ref="Q855">SUMPRODUCT((keyword_comparison[record_identifier]=keyword_comparison[[#This Row],[record_identifier]])*(LEN(keyword_comparison[keyword_matcher_output])&gt;0))</f>
        <v>0</v>
      </c>
    </row>
    <row r="856" spans="1:17" x14ac:dyDescent="0.25">
      <c r="A856" t="s">
        <v>763</v>
      </c>
      <c r="B856" t="s">
        <v>764</v>
      </c>
      <c r="C856" t="s">
        <v>765</v>
      </c>
      <c r="D856" t="s">
        <v>20</v>
      </c>
      <c r="E856" t="s">
        <v>33</v>
      </c>
      <c r="H856" t="s">
        <v>54</v>
      </c>
      <c r="J856" t="s">
        <v>767</v>
      </c>
      <c r="K856" t="s">
        <v>546</v>
      </c>
      <c r="M856">
        <v>0.82040000000000002</v>
      </c>
      <c r="N856">
        <v>2</v>
      </c>
      <c r="P856">
        <f>COUNTIFS(keyword_comparison[record_identifier],keyword_comparison[[#This Row],[record_identifier]],keyword_comparison[Review],"&lt;&gt;")</f>
        <v>0</v>
      </c>
      <c r="Q856" cm="1">
        <f t="array" ref="Q856">SUMPRODUCT((keyword_comparison[record_identifier]=keyword_comparison[[#This Row],[record_identifier]])*(LEN(keyword_comparison[keyword_matcher_output])&gt;0))</f>
        <v>0</v>
      </c>
    </row>
    <row r="857" spans="1:17" x14ac:dyDescent="0.25">
      <c r="A857" t="s">
        <v>763</v>
      </c>
      <c r="B857" t="s">
        <v>764</v>
      </c>
      <c r="C857" t="s">
        <v>765</v>
      </c>
      <c r="D857" t="s">
        <v>20</v>
      </c>
      <c r="E857" t="s">
        <v>33</v>
      </c>
      <c r="H857" t="s">
        <v>54</v>
      </c>
      <c r="J857" t="s">
        <v>318</v>
      </c>
      <c r="K857" t="s">
        <v>319</v>
      </c>
      <c r="M857">
        <v>0.1358</v>
      </c>
      <c r="N857">
        <v>3</v>
      </c>
      <c r="P857">
        <f>COUNTIFS(keyword_comparison[record_identifier],keyword_comparison[[#This Row],[record_identifier]],keyword_comparison[Review],"&lt;&gt;")</f>
        <v>0</v>
      </c>
      <c r="Q857" cm="1">
        <f t="array" ref="Q857">SUMPRODUCT((keyword_comparison[record_identifier]=keyword_comparison[[#This Row],[record_identifier]])*(LEN(keyword_comparison[keyword_matcher_output])&gt;0))</f>
        <v>0</v>
      </c>
    </row>
    <row r="858" spans="1:17" x14ac:dyDescent="0.25">
      <c r="A858" t="s">
        <v>763</v>
      </c>
      <c r="B858" t="s">
        <v>764</v>
      </c>
      <c r="C858" t="s">
        <v>765</v>
      </c>
      <c r="D858" t="s">
        <v>20</v>
      </c>
      <c r="E858" t="s">
        <v>33</v>
      </c>
      <c r="H858" t="s">
        <v>54</v>
      </c>
      <c r="J858" t="s">
        <v>768</v>
      </c>
      <c r="K858" t="s">
        <v>769</v>
      </c>
      <c r="M858">
        <v>0.1047</v>
      </c>
      <c r="N858">
        <v>4</v>
      </c>
      <c r="P858">
        <f>COUNTIFS(keyword_comparison[record_identifier],keyword_comparison[[#This Row],[record_identifier]],keyword_comparison[Review],"&lt;&gt;")</f>
        <v>0</v>
      </c>
      <c r="Q858" cm="1">
        <f t="array" ref="Q858">SUMPRODUCT((keyword_comparison[record_identifier]=keyword_comparison[[#This Row],[record_identifier]])*(LEN(keyword_comparison[keyword_matcher_output])&gt;0))</f>
        <v>0</v>
      </c>
    </row>
    <row r="859" spans="1:17" x14ac:dyDescent="0.25">
      <c r="A859" t="s">
        <v>763</v>
      </c>
      <c r="B859" t="s">
        <v>764</v>
      </c>
      <c r="C859" t="s">
        <v>765</v>
      </c>
      <c r="D859" t="s">
        <v>20</v>
      </c>
      <c r="E859" t="s">
        <v>33</v>
      </c>
      <c r="H859" t="s">
        <v>54</v>
      </c>
      <c r="J859" t="s">
        <v>473</v>
      </c>
      <c r="K859" t="s">
        <v>474</v>
      </c>
      <c r="M859">
        <v>6.2300000000000001E-2</v>
      </c>
      <c r="N859">
        <v>5</v>
      </c>
      <c r="P859">
        <f>COUNTIFS(keyword_comparison[record_identifier],keyword_comparison[[#This Row],[record_identifier]],keyword_comparison[Review],"&lt;&gt;")</f>
        <v>0</v>
      </c>
      <c r="Q859" cm="1">
        <f t="array" ref="Q859">SUMPRODUCT((keyword_comparison[record_identifier]=keyword_comparison[[#This Row],[record_identifier]])*(LEN(keyword_comparison[keyword_matcher_output])&gt;0))</f>
        <v>0</v>
      </c>
    </row>
    <row r="860" spans="1:17" x14ac:dyDescent="0.25">
      <c r="A860" t="s">
        <v>763</v>
      </c>
      <c r="B860" t="s">
        <v>764</v>
      </c>
      <c r="C860" t="s">
        <v>765</v>
      </c>
      <c r="D860" t="s">
        <v>20</v>
      </c>
      <c r="E860" t="s">
        <v>33</v>
      </c>
      <c r="H860" t="s">
        <v>54</v>
      </c>
      <c r="J860" t="s">
        <v>168</v>
      </c>
      <c r="K860" t="s">
        <v>169</v>
      </c>
      <c r="M860">
        <v>5.04E-2</v>
      </c>
      <c r="N860">
        <v>6</v>
      </c>
      <c r="P860">
        <f>COUNTIFS(keyword_comparison[record_identifier],keyword_comparison[[#This Row],[record_identifier]],keyword_comparison[Review],"&lt;&gt;")</f>
        <v>0</v>
      </c>
      <c r="Q860" cm="1">
        <f t="array" ref="Q860">SUMPRODUCT((keyword_comparison[record_identifier]=keyword_comparison[[#This Row],[record_identifier]])*(LEN(keyword_comparison[keyword_matcher_output])&gt;0))</f>
        <v>0</v>
      </c>
    </row>
    <row r="861" spans="1:17" x14ac:dyDescent="0.25">
      <c r="A861" t="s">
        <v>763</v>
      </c>
      <c r="B861" t="s">
        <v>764</v>
      </c>
      <c r="C861" t="s">
        <v>765</v>
      </c>
      <c r="D861" t="s">
        <v>20</v>
      </c>
      <c r="E861" t="s">
        <v>48</v>
      </c>
      <c r="H861" t="s">
        <v>54</v>
      </c>
      <c r="J861" t="s">
        <v>766</v>
      </c>
      <c r="K861" t="s">
        <v>183</v>
      </c>
      <c r="P861">
        <f>COUNTIFS(keyword_comparison[record_identifier],keyword_comparison[[#This Row],[record_identifier]],keyword_comparison[Review],"&lt;&gt;")</f>
        <v>0</v>
      </c>
      <c r="Q861" cm="1">
        <f t="array" ref="Q861">SUMPRODUCT((keyword_comparison[record_identifier]=keyword_comparison[[#This Row],[record_identifier]])*(LEN(keyword_comparison[keyword_matcher_output])&gt;0))</f>
        <v>0</v>
      </c>
    </row>
    <row r="862" spans="1:17" x14ac:dyDescent="0.25">
      <c r="A862" t="s">
        <v>763</v>
      </c>
      <c r="B862" t="s">
        <v>764</v>
      </c>
      <c r="C862" t="s">
        <v>765</v>
      </c>
      <c r="D862" t="s">
        <v>20</v>
      </c>
      <c r="E862" t="s">
        <v>48</v>
      </c>
      <c r="H862" t="s">
        <v>54</v>
      </c>
      <c r="J862" t="s">
        <v>545</v>
      </c>
      <c r="K862" t="s">
        <v>546</v>
      </c>
      <c r="P862">
        <f>COUNTIFS(keyword_comparison[record_identifier],keyword_comparison[[#This Row],[record_identifier]],keyword_comparison[Review],"&lt;&gt;")</f>
        <v>0</v>
      </c>
      <c r="Q862" cm="1">
        <f t="array" ref="Q862">SUMPRODUCT((keyword_comparison[record_identifier]=keyword_comparison[[#This Row],[record_identifier]])*(LEN(keyword_comparison[keyword_matcher_output])&gt;0))</f>
        <v>0</v>
      </c>
    </row>
    <row r="863" spans="1:17" x14ac:dyDescent="0.25">
      <c r="A863" t="s">
        <v>763</v>
      </c>
      <c r="B863" t="s">
        <v>764</v>
      </c>
      <c r="C863" t="s">
        <v>765</v>
      </c>
      <c r="D863" t="s">
        <v>20</v>
      </c>
      <c r="E863" t="s">
        <v>48</v>
      </c>
      <c r="H863" t="s">
        <v>54</v>
      </c>
      <c r="J863" t="s">
        <v>84</v>
      </c>
      <c r="K863" t="s">
        <v>85</v>
      </c>
      <c r="P863">
        <f>COUNTIFS(keyword_comparison[record_identifier],keyword_comparison[[#This Row],[record_identifier]],keyword_comparison[Review],"&lt;&gt;")</f>
        <v>0</v>
      </c>
      <c r="Q863" cm="1">
        <f t="array" ref="Q863">SUMPRODUCT((keyword_comparison[record_identifier]=keyword_comparison[[#This Row],[record_identifier]])*(LEN(keyword_comparison[keyword_matcher_output])&gt;0))</f>
        <v>0</v>
      </c>
    </row>
    <row r="864" spans="1:17" x14ac:dyDescent="0.25">
      <c r="A864" t="s">
        <v>763</v>
      </c>
      <c r="B864" t="s">
        <v>764</v>
      </c>
      <c r="C864" t="s">
        <v>765</v>
      </c>
      <c r="D864" t="s">
        <v>20</v>
      </c>
      <c r="E864" t="s">
        <v>48</v>
      </c>
      <c r="H864" t="s">
        <v>54</v>
      </c>
      <c r="J864" t="s">
        <v>770</v>
      </c>
      <c r="K864" t="s">
        <v>771</v>
      </c>
      <c r="P864">
        <f>COUNTIFS(keyword_comparison[record_identifier],keyword_comparison[[#This Row],[record_identifier]],keyword_comparison[Review],"&lt;&gt;")</f>
        <v>0</v>
      </c>
      <c r="Q864" cm="1">
        <f t="array" ref="Q864">SUMPRODUCT((keyword_comparison[record_identifier]=keyword_comparison[[#This Row],[record_identifier]])*(LEN(keyword_comparison[keyword_matcher_output])&gt;0))</f>
        <v>0</v>
      </c>
    </row>
    <row r="865" spans="1:17" x14ac:dyDescent="0.25">
      <c r="A865" t="s">
        <v>763</v>
      </c>
      <c r="B865" t="s">
        <v>764</v>
      </c>
      <c r="C865" t="s">
        <v>765</v>
      </c>
      <c r="D865" t="s">
        <v>20</v>
      </c>
      <c r="E865" t="s">
        <v>48</v>
      </c>
      <c r="H865" t="s">
        <v>54</v>
      </c>
      <c r="J865" t="s">
        <v>168</v>
      </c>
      <c r="K865" t="s">
        <v>169</v>
      </c>
      <c r="P865">
        <f>COUNTIFS(keyword_comparison[record_identifier],keyword_comparison[[#This Row],[record_identifier]],keyword_comparison[Review],"&lt;&gt;")</f>
        <v>0</v>
      </c>
      <c r="Q865" cm="1">
        <f t="array" ref="Q865">SUMPRODUCT((keyword_comparison[record_identifier]=keyword_comparison[[#This Row],[record_identifier]])*(LEN(keyword_comparison[keyword_matcher_output])&gt;0))</f>
        <v>0</v>
      </c>
    </row>
    <row r="866" spans="1:17" x14ac:dyDescent="0.25">
      <c r="A866" t="s">
        <v>763</v>
      </c>
      <c r="B866" t="s">
        <v>764</v>
      </c>
      <c r="C866" t="s">
        <v>765</v>
      </c>
      <c r="D866" t="s">
        <v>20</v>
      </c>
      <c r="E866" t="s">
        <v>53</v>
      </c>
      <c r="F866" t="s">
        <v>54</v>
      </c>
      <c r="G866" t="s">
        <v>54</v>
      </c>
      <c r="H866" t="s">
        <v>54</v>
      </c>
      <c r="J866" t="s">
        <v>772</v>
      </c>
      <c r="K866" t="s">
        <v>773</v>
      </c>
      <c r="O866">
        <v>1</v>
      </c>
      <c r="P866">
        <f>COUNTIFS(keyword_comparison[record_identifier],keyword_comparison[[#This Row],[record_identifier]],keyword_comparison[Review],"&lt;&gt;")</f>
        <v>0</v>
      </c>
      <c r="Q866" cm="1">
        <f t="array" ref="Q866">SUMPRODUCT((keyword_comparison[record_identifier]=keyword_comparison[[#This Row],[record_identifier]])*(LEN(keyword_comparison[keyword_matcher_output])&gt;0))</f>
        <v>0</v>
      </c>
    </row>
    <row r="867" spans="1:17" x14ac:dyDescent="0.25">
      <c r="A867" t="s">
        <v>763</v>
      </c>
      <c r="B867" t="s">
        <v>764</v>
      </c>
      <c r="C867" t="s">
        <v>765</v>
      </c>
      <c r="D867" t="s">
        <v>20</v>
      </c>
      <c r="E867" t="s">
        <v>53</v>
      </c>
      <c r="F867" t="s">
        <v>54</v>
      </c>
      <c r="G867" t="s">
        <v>54</v>
      </c>
      <c r="H867" t="s">
        <v>54</v>
      </c>
      <c r="J867" t="s">
        <v>767</v>
      </c>
      <c r="K867" t="s">
        <v>546</v>
      </c>
      <c r="O867">
        <v>2</v>
      </c>
      <c r="P867">
        <f>COUNTIFS(keyword_comparison[record_identifier],keyword_comparison[[#This Row],[record_identifier]],keyword_comparison[Review],"&lt;&gt;")</f>
        <v>0</v>
      </c>
      <c r="Q867" cm="1">
        <f t="array" ref="Q867">SUMPRODUCT((keyword_comparison[record_identifier]=keyword_comparison[[#This Row],[record_identifier]])*(LEN(keyword_comparison[keyword_matcher_output])&gt;0))</f>
        <v>0</v>
      </c>
    </row>
    <row r="868" spans="1:17" x14ac:dyDescent="0.25">
      <c r="A868" t="s">
        <v>763</v>
      </c>
      <c r="B868" t="s">
        <v>764</v>
      </c>
      <c r="C868" t="s">
        <v>765</v>
      </c>
      <c r="D868" t="s">
        <v>20</v>
      </c>
      <c r="E868" t="s">
        <v>53</v>
      </c>
      <c r="F868" t="s">
        <v>54</v>
      </c>
      <c r="G868" t="s">
        <v>54</v>
      </c>
      <c r="H868" t="s">
        <v>54</v>
      </c>
      <c r="J868" t="s">
        <v>766</v>
      </c>
      <c r="K868" t="s">
        <v>183</v>
      </c>
      <c r="O868">
        <v>3</v>
      </c>
      <c r="P868">
        <f>COUNTIFS(keyword_comparison[record_identifier],keyword_comparison[[#This Row],[record_identifier]],keyword_comparison[Review],"&lt;&gt;")</f>
        <v>0</v>
      </c>
      <c r="Q868" cm="1">
        <f t="array" ref="Q868">SUMPRODUCT((keyword_comparison[record_identifier]=keyword_comparison[[#This Row],[record_identifier]])*(LEN(keyword_comparison[keyword_matcher_output])&gt;0))</f>
        <v>0</v>
      </c>
    </row>
    <row r="869" spans="1:17" x14ac:dyDescent="0.25">
      <c r="A869" t="s">
        <v>763</v>
      </c>
      <c r="B869" t="s">
        <v>764</v>
      </c>
      <c r="C869" t="s">
        <v>765</v>
      </c>
      <c r="D869" t="s">
        <v>20</v>
      </c>
      <c r="E869" t="s">
        <v>53</v>
      </c>
      <c r="F869" t="s">
        <v>54</v>
      </c>
      <c r="G869" t="s">
        <v>54</v>
      </c>
      <c r="H869" t="s">
        <v>54</v>
      </c>
      <c r="J869" t="s">
        <v>770</v>
      </c>
      <c r="K869" t="s">
        <v>771</v>
      </c>
      <c r="O869">
        <v>4</v>
      </c>
      <c r="P869">
        <f>COUNTIFS(keyword_comparison[record_identifier],keyword_comparison[[#This Row],[record_identifier]],keyword_comparison[Review],"&lt;&gt;")</f>
        <v>0</v>
      </c>
      <c r="Q869" cm="1">
        <f t="array" ref="Q869">SUMPRODUCT((keyword_comparison[record_identifier]=keyword_comparison[[#This Row],[record_identifier]])*(LEN(keyword_comparison[keyword_matcher_output])&gt;0))</f>
        <v>0</v>
      </c>
    </row>
    <row r="870" spans="1:17" x14ac:dyDescent="0.25">
      <c r="A870" t="s">
        <v>763</v>
      </c>
      <c r="B870" t="s">
        <v>764</v>
      </c>
      <c r="C870" t="s">
        <v>765</v>
      </c>
      <c r="D870" t="s">
        <v>20</v>
      </c>
      <c r="E870" t="s">
        <v>53</v>
      </c>
      <c r="F870" t="s">
        <v>54</v>
      </c>
      <c r="G870" t="s">
        <v>54</v>
      </c>
      <c r="H870" t="s">
        <v>54</v>
      </c>
      <c r="J870" t="s">
        <v>477</v>
      </c>
      <c r="K870" t="s">
        <v>478</v>
      </c>
      <c r="O870">
        <v>5</v>
      </c>
      <c r="P870">
        <f>COUNTIFS(keyword_comparison[record_identifier],keyword_comparison[[#This Row],[record_identifier]],keyword_comparison[Review],"&lt;&gt;")</f>
        <v>0</v>
      </c>
      <c r="Q870" cm="1">
        <f t="array" ref="Q870">SUMPRODUCT((keyword_comparison[record_identifier]=keyword_comparison[[#This Row],[record_identifier]])*(LEN(keyword_comparison[keyword_matcher_output])&gt;0))</f>
        <v>0</v>
      </c>
    </row>
    <row r="871" spans="1:17" x14ac:dyDescent="0.25">
      <c r="A871" t="s">
        <v>763</v>
      </c>
      <c r="B871" t="s">
        <v>764</v>
      </c>
      <c r="C871" t="s">
        <v>765</v>
      </c>
      <c r="D871" t="s">
        <v>20</v>
      </c>
      <c r="E871" t="s">
        <v>53</v>
      </c>
      <c r="F871" t="s">
        <v>54</v>
      </c>
      <c r="G871" t="s">
        <v>54</v>
      </c>
      <c r="H871" t="s">
        <v>54</v>
      </c>
      <c r="J871" t="s">
        <v>774</v>
      </c>
      <c r="K871" t="s">
        <v>775</v>
      </c>
      <c r="O871">
        <v>6</v>
      </c>
      <c r="P871">
        <f>COUNTIFS(keyword_comparison[record_identifier],keyword_comparison[[#This Row],[record_identifier]],keyword_comparison[Review],"&lt;&gt;")</f>
        <v>0</v>
      </c>
      <c r="Q871" cm="1">
        <f t="array" ref="Q871">SUMPRODUCT((keyword_comparison[record_identifier]=keyword_comparison[[#This Row],[record_identifier]])*(LEN(keyword_comparison[keyword_matcher_output])&gt;0))</f>
        <v>0</v>
      </c>
    </row>
    <row r="872" spans="1:17" x14ac:dyDescent="0.25">
      <c r="A872" t="s">
        <v>776</v>
      </c>
      <c r="B872" t="s">
        <v>777</v>
      </c>
      <c r="C872" t="s">
        <v>778</v>
      </c>
      <c r="D872" t="s">
        <v>20</v>
      </c>
      <c r="E872" t="s">
        <v>33</v>
      </c>
      <c r="H872" t="s">
        <v>54</v>
      </c>
      <c r="J872" t="s">
        <v>574</v>
      </c>
      <c r="K872" t="s">
        <v>575</v>
      </c>
      <c r="L872" t="b">
        <v>1</v>
      </c>
      <c r="M872">
        <v>0.87439999999999996</v>
      </c>
      <c r="N872">
        <v>1</v>
      </c>
      <c r="P872">
        <f>COUNTIFS(keyword_comparison[record_identifier],keyword_comparison[[#This Row],[record_identifier]],keyword_comparison[Review],"&lt;&gt;")</f>
        <v>0</v>
      </c>
      <c r="Q872" cm="1">
        <f t="array" ref="Q872">SUMPRODUCT((keyword_comparison[record_identifier]=keyword_comparison[[#This Row],[record_identifier]])*(LEN(keyword_comparison[keyword_matcher_output])&gt;0))</f>
        <v>0</v>
      </c>
    </row>
    <row r="873" spans="1:17" x14ac:dyDescent="0.25">
      <c r="A873" t="s">
        <v>776</v>
      </c>
      <c r="B873" t="s">
        <v>777</v>
      </c>
      <c r="C873" t="s">
        <v>778</v>
      </c>
      <c r="D873" t="s">
        <v>20</v>
      </c>
      <c r="E873" t="s">
        <v>33</v>
      </c>
      <c r="H873" t="s">
        <v>54</v>
      </c>
      <c r="J873" t="s">
        <v>258</v>
      </c>
      <c r="K873" t="s">
        <v>259</v>
      </c>
      <c r="M873">
        <v>0.76529999999999998</v>
      </c>
      <c r="N873">
        <v>2</v>
      </c>
      <c r="P873">
        <f>COUNTIFS(keyword_comparison[record_identifier],keyword_comparison[[#This Row],[record_identifier]],keyword_comparison[Review],"&lt;&gt;")</f>
        <v>0</v>
      </c>
      <c r="Q873" cm="1">
        <f t="array" ref="Q873">SUMPRODUCT((keyword_comparison[record_identifier]=keyword_comparison[[#This Row],[record_identifier]])*(LEN(keyword_comparison[keyword_matcher_output])&gt;0))</f>
        <v>0</v>
      </c>
    </row>
    <row r="874" spans="1:17" x14ac:dyDescent="0.25">
      <c r="A874" t="s">
        <v>776</v>
      </c>
      <c r="B874" t="s">
        <v>777</v>
      </c>
      <c r="C874" t="s">
        <v>778</v>
      </c>
      <c r="D874" t="s">
        <v>20</v>
      </c>
      <c r="E874" t="s">
        <v>33</v>
      </c>
      <c r="H874" t="s">
        <v>54</v>
      </c>
      <c r="J874" t="s">
        <v>204</v>
      </c>
      <c r="K874" t="s">
        <v>205</v>
      </c>
      <c r="L874" t="b">
        <v>1</v>
      </c>
      <c r="M874">
        <v>0.55789999999999995</v>
      </c>
      <c r="N874">
        <v>3</v>
      </c>
      <c r="P874">
        <f>COUNTIFS(keyword_comparison[record_identifier],keyword_comparison[[#This Row],[record_identifier]],keyword_comparison[Review],"&lt;&gt;")</f>
        <v>0</v>
      </c>
      <c r="Q874" cm="1">
        <f t="array" ref="Q874">SUMPRODUCT((keyword_comparison[record_identifier]=keyword_comparison[[#This Row],[record_identifier]])*(LEN(keyword_comparison[keyword_matcher_output])&gt;0))</f>
        <v>0</v>
      </c>
    </row>
    <row r="875" spans="1:17" x14ac:dyDescent="0.25">
      <c r="A875" t="s">
        <v>776</v>
      </c>
      <c r="B875" t="s">
        <v>777</v>
      </c>
      <c r="C875" t="s">
        <v>778</v>
      </c>
      <c r="D875" t="s">
        <v>20</v>
      </c>
      <c r="E875" t="s">
        <v>33</v>
      </c>
      <c r="H875" t="s">
        <v>54</v>
      </c>
      <c r="J875" t="s">
        <v>191</v>
      </c>
      <c r="K875" t="s">
        <v>192</v>
      </c>
      <c r="M875">
        <v>0.35</v>
      </c>
      <c r="N875">
        <v>4</v>
      </c>
      <c r="P875">
        <f>COUNTIFS(keyword_comparison[record_identifier],keyword_comparison[[#This Row],[record_identifier]],keyword_comparison[Review],"&lt;&gt;")</f>
        <v>0</v>
      </c>
      <c r="Q875" cm="1">
        <f t="array" ref="Q875">SUMPRODUCT((keyword_comparison[record_identifier]=keyword_comparison[[#This Row],[record_identifier]])*(LEN(keyword_comparison[keyword_matcher_output])&gt;0))</f>
        <v>0</v>
      </c>
    </row>
    <row r="876" spans="1:17" x14ac:dyDescent="0.25">
      <c r="A876" t="s">
        <v>776</v>
      </c>
      <c r="B876" t="s">
        <v>777</v>
      </c>
      <c r="C876" t="s">
        <v>778</v>
      </c>
      <c r="D876" t="s">
        <v>20</v>
      </c>
      <c r="E876" t="s">
        <v>33</v>
      </c>
      <c r="H876" t="s">
        <v>54</v>
      </c>
      <c r="J876" t="s">
        <v>779</v>
      </c>
      <c r="K876" t="s">
        <v>780</v>
      </c>
      <c r="M876">
        <v>0.1081</v>
      </c>
      <c r="N876">
        <v>5</v>
      </c>
      <c r="P876">
        <f>COUNTIFS(keyword_comparison[record_identifier],keyword_comparison[[#This Row],[record_identifier]],keyword_comparison[Review],"&lt;&gt;")</f>
        <v>0</v>
      </c>
      <c r="Q876" cm="1">
        <f t="array" ref="Q876">SUMPRODUCT((keyword_comparison[record_identifier]=keyword_comparison[[#This Row],[record_identifier]])*(LEN(keyword_comparison[keyword_matcher_output])&gt;0))</f>
        <v>0</v>
      </c>
    </row>
    <row r="877" spans="1:17" x14ac:dyDescent="0.25">
      <c r="A877" t="s">
        <v>776</v>
      </c>
      <c r="B877" t="s">
        <v>777</v>
      </c>
      <c r="C877" t="s">
        <v>778</v>
      </c>
      <c r="D877" t="s">
        <v>20</v>
      </c>
      <c r="E877" t="s">
        <v>33</v>
      </c>
      <c r="H877" t="s">
        <v>54</v>
      </c>
      <c r="J877" t="s">
        <v>255</v>
      </c>
      <c r="K877" t="s">
        <v>256</v>
      </c>
      <c r="M877">
        <v>9.2299999999999993E-2</v>
      </c>
      <c r="N877">
        <v>6</v>
      </c>
      <c r="P877">
        <f>COUNTIFS(keyword_comparison[record_identifier],keyword_comparison[[#This Row],[record_identifier]],keyword_comparison[Review],"&lt;&gt;")</f>
        <v>0</v>
      </c>
      <c r="Q877" cm="1">
        <f t="array" ref="Q877">SUMPRODUCT((keyword_comparison[record_identifier]=keyword_comparison[[#This Row],[record_identifier]])*(LEN(keyword_comparison[keyword_matcher_output])&gt;0))</f>
        <v>0</v>
      </c>
    </row>
    <row r="878" spans="1:17" x14ac:dyDescent="0.25">
      <c r="A878" t="s">
        <v>776</v>
      </c>
      <c r="B878" t="s">
        <v>777</v>
      </c>
      <c r="C878" t="s">
        <v>778</v>
      </c>
      <c r="D878" t="s">
        <v>20</v>
      </c>
      <c r="E878" t="s">
        <v>33</v>
      </c>
      <c r="H878" t="s">
        <v>54</v>
      </c>
      <c r="J878" t="s">
        <v>34</v>
      </c>
      <c r="K878" t="s">
        <v>35</v>
      </c>
      <c r="M878">
        <v>8.1600000000000006E-2</v>
      </c>
      <c r="N878">
        <v>7</v>
      </c>
      <c r="P878">
        <f>COUNTIFS(keyword_comparison[record_identifier],keyword_comparison[[#This Row],[record_identifier]],keyword_comparison[Review],"&lt;&gt;")</f>
        <v>0</v>
      </c>
      <c r="Q878" cm="1">
        <f t="array" ref="Q878">SUMPRODUCT((keyword_comparison[record_identifier]=keyword_comparison[[#This Row],[record_identifier]])*(LEN(keyword_comparison[keyword_matcher_output])&gt;0))</f>
        <v>0</v>
      </c>
    </row>
    <row r="879" spans="1:17" x14ac:dyDescent="0.25">
      <c r="A879" t="s">
        <v>776</v>
      </c>
      <c r="B879" t="s">
        <v>777</v>
      </c>
      <c r="C879" t="s">
        <v>778</v>
      </c>
      <c r="D879" t="s">
        <v>20</v>
      </c>
      <c r="E879" t="s">
        <v>33</v>
      </c>
      <c r="H879" t="s">
        <v>54</v>
      </c>
      <c r="J879" t="s">
        <v>281</v>
      </c>
      <c r="K879" t="s">
        <v>282</v>
      </c>
      <c r="M879">
        <v>8.0100000000000005E-2</v>
      </c>
      <c r="N879">
        <v>8</v>
      </c>
      <c r="P879">
        <f>COUNTIFS(keyword_comparison[record_identifier],keyword_comparison[[#This Row],[record_identifier]],keyword_comparison[Review],"&lt;&gt;")</f>
        <v>0</v>
      </c>
      <c r="Q879" cm="1">
        <f t="array" ref="Q879">SUMPRODUCT((keyword_comparison[record_identifier]=keyword_comparison[[#This Row],[record_identifier]])*(LEN(keyword_comparison[keyword_matcher_output])&gt;0))</f>
        <v>0</v>
      </c>
    </row>
    <row r="880" spans="1:17" x14ac:dyDescent="0.25">
      <c r="A880" t="s">
        <v>776</v>
      </c>
      <c r="B880" t="s">
        <v>777</v>
      </c>
      <c r="C880" t="s">
        <v>778</v>
      </c>
      <c r="D880" t="s">
        <v>20</v>
      </c>
      <c r="E880" t="s">
        <v>48</v>
      </c>
      <c r="H880" t="s">
        <v>54</v>
      </c>
      <c r="J880" t="s">
        <v>34</v>
      </c>
      <c r="K880" t="s">
        <v>35</v>
      </c>
      <c r="P880">
        <f>COUNTIFS(keyword_comparison[record_identifier],keyword_comparison[[#This Row],[record_identifier]],keyword_comparison[Review],"&lt;&gt;")</f>
        <v>0</v>
      </c>
      <c r="Q880" cm="1">
        <f t="array" ref="Q880">SUMPRODUCT((keyword_comparison[record_identifier]=keyword_comparison[[#This Row],[record_identifier]])*(LEN(keyword_comparison[keyword_matcher_output])&gt;0))</f>
        <v>0</v>
      </c>
    </row>
    <row r="881" spans="1:17" x14ac:dyDescent="0.25">
      <c r="A881" t="s">
        <v>776</v>
      </c>
      <c r="B881" t="s">
        <v>777</v>
      </c>
      <c r="C881" t="s">
        <v>778</v>
      </c>
      <c r="D881" t="s">
        <v>20</v>
      </c>
      <c r="E881" t="s">
        <v>48</v>
      </c>
      <c r="H881" t="s">
        <v>54</v>
      </c>
      <c r="J881" t="s">
        <v>255</v>
      </c>
      <c r="K881" t="s">
        <v>256</v>
      </c>
      <c r="P881">
        <f>COUNTIFS(keyword_comparison[record_identifier],keyword_comparison[[#This Row],[record_identifier]],keyword_comparison[Review],"&lt;&gt;")</f>
        <v>0</v>
      </c>
      <c r="Q881" cm="1">
        <f t="array" ref="Q881">SUMPRODUCT((keyword_comparison[record_identifier]=keyword_comparison[[#This Row],[record_identifier]])*(LEN(keyword_comparison[keyword_matcher_output])&gt;0))</f>
        <v>0</v>
      </c>
    </row>
    <row r="882" spans="1:17" x14ac:dyDescent="0.25">
      <c r="A882" t="s">
        <v>776</v>
      </c>
      <c r="B882" t="s">
        <v>777</v>
      </c>
      <c r="C882" t="s">
        <v>778</v>
      </c>
      <c r="D882" t="s">
        <v>20</v>
      </c>
      <c r="E882" t="s">
        <v>48</v>
      </c>
      <c r="H882" t="s">
        <v>54</v>
      </c>
      <c r="J882" t="s">
        <v>51</v>
      </c>
      <c r="K882" t="s">
        <v>52</v>
      </c>
      <c r="P882">
        <f>COUNTIFS(keyword_comparison[record_identifier],keyword_comparison[[#This Row],[record_identifier]],keyword_comparison[Review],"&lt;&gt;")</f>
        <v>0</v>
      </c>
      <c r="Q882" cm="1">
        <f t="array" ref="Q882">SUMPRODUCT((keyword_comparison[record_identifier]=keyword_comparison[[#This Row],[record_identifier]])*(LEN(keyword_comparison[keyword_matcher_output])&gt;0))</f>
        <v>0</v>
      </c>
    </row>
    <row r="883" spans="1:17" x14ac:dyDescent="0.25">
      <c r="A883" t="s">
        <v>776</v>
      </c>
      <c r="B883" t="s">
        <v>777</v>
      </c>
      <c r="C883" t="s">
        <v>778</v>
      </c>
      <c r="D883" t="s">
        <v>20</v>
      </c>
      <c r="E883" t="s">
        <v>48</v>
      </c>
      <c r="H883" t="s">
        <v>54</v>
      </c>
      <c r="J883" t="s">
        <v>84</v>
      </c>
      <c r="K883" t="s">
        <v>85</v>
      </c>
      <c r="P883">
        <f>COUNTIFS(keyword_comparison[record_identifier],keyword_comparison[[#This Row],[record_identifier]],keyword_comparison[Review],"&lt;&gt;")</f>
        <v>0</v>
      </c>
      <c r="Q883" cm="1">
        <f t="array" ref="Q883">SUMPRODUCT((keyword_comparison[record_identifier]=keyword_comparison[[#This Row],[record_identifier]])*(LEN(keyword_comparison[keyword_matcher_output])&gt;0))</f>
        <v>0</v>
      </c>
    </row>
    <row r="884" spans="1:17" x14ac:dyDescent="0.25">
      <c r="A884" t="s">
        <v>776</v>
      </c>
      <c r="B884" t="s">
        <v>777</v>
      </c>
      <c r="C884" t="s">
        <v>778</v>
      </c>
      <c r="D884" t="s">
        <v>20</v>
      </c>
      <c r="E884" t="s">
        <v>48</v>
      </c>
      <c r="H884" t="s">
        <v>54</v>
      </c>
      <c r="J884" t="s">
        <v>199</v>
      </c>
      <c r="K884" t="s">
        <v>200</v>
      </c>
      <c r="P884">
        <f>COUNTIFS(keyword_comparison[record_identifier],keyword_comparison[[#This Row],[record_identifier]],keyword_comparison[Review],"&lt;&gt;")</f>
        <v>0</v>
      </c>
      <c r="Q884" cm="1">
        <f t="array" ref="Q884">SUMPRODUCT((keyword_comparison[record_identifier]=keyword_comparison[[#This Row],[record_identifier]])*(LEN(keyword_comparison[keyword_matcher_output])&gt;0))</f>
        <v>0</v>
      </c>
    </row>
    <row r="885" spans="1:17" x14ac:dyDescent="0.25">
      <c r="A885" t="s">
        <v>776</v>
      </c>
      <c r="B885" t="s">
        <v>777</v>
      </c>
      <c r="C885" t="s">
        <v>778</v>
      </c>
      <c r="D885" t="s">
        <v>20</v>
      </c>
      <c r="E885" t="s">
        <v>53</v>
      </c>
      <c r="F885" t="s">
        <v>54</v>
      </c>
      <c r="G885" t="s">
        <v>54</v>
      </c>
      <c r="H885" t="s">
        <v>54</v>
      </c>
      <c r="J885" t="s">
        <v>34</v>
      </c>
      <c r="K885" t="s">
        <v>35</v>
      </c>
      <c r="O885">
        <v>1</v>
      </c>
      <c r="P885">
        <f>COUNTIFS(keyword_comparison[record_identifier],keyword_comparison[[#This Row],[record_identifier]],keyword_comparison[Review],"&lt;&gt;")</f>
        <v>0</v>
      </c>
      <c r="Q885" cm="1">
        <f t="array" ref="Q885">SUMPRODUCT((keyword_comparison[record_identifier]=keyword_comparison[[#This Row],[record_identifier]])*(LEN(keyword_comparison[keyword_matcher_output])&gt;0))</f>
        <v>0</v>
      </c>
    </row>
    <row r="886" spans="1:17" x14ac:dyDescent="0.25">
      <c r="A886" t="s">
        <v>776</v>
      </c>
      <c r="B886" t="s">
        <v>777</v>
      </c>
      <c r="C886" t="s">
        <v>778</v>
      </c>
      <c r="D886" t="s">
        <v>20</v>
      </c>
      <c r="E886" t="s">
        <v>53</v>
      </c>
      <c r="F886" t="s">
        <v>54</v>
      </c>
      <c r="G886" t="s">
        <v>54</v>
      </c>
      <c r="H886" t="s">
        <v>54</v>
      </c>
      <c r="J886" t="s">
        <v>59</v>
      </c>
      <c r="K886" t="s">
        <v>60</v>
      </c>
      <c r="O886">
        <v>2</v>
      </c>
      <c r="P886">
        <f>COUNTIFS(keyword_comparison[record_identifier],keyword_comparison[[#This Row],[record_identifier]],keyword_comparison[Review],"&lt;&gt;")</f>
        <v>0</v>
      </c>
      <c r="Q886" cm="1">
        <f t="array" ref="Q886">SUMPRODUCT((keyword_comparison[record_identifier]=keyword_comparison[[#This Row],[record_identifier]])*(LEN(keyword_comparison[keyword_matcher_output])&gt;0))</f>
        <v>0</v>
      </c>
    </row>
    <row r="887" spans="1:17" x14ac:dyDescent="0.25">
      <c r="A887" t="s">
        <v>776</v>
      </c>
      <c r="B887" t="s">
        <v>777</v>
      </c>
      <c r="C887" t="s">
        <v>778</v>
      </c>
      <c r="D887" t="s">
        <v>20</v>
      </c>
      <c r="E887" t="s">
        <v>53</v>
      </c>
      <c r="F887" t="s">
        <v>54</v>
      </c>
      <c r="G887" t="s">
        <v>54</v>
      </c>
      <c r="H887" t="s">
        <v>54</v>
      </c>
      <c r="J887" t="s">
        <v>255</v>
      </c>
      <c r="K887" t="s">
        <v>256</v>
      </c>
      <c r="O887">
        <v>3</v>
      </c>
      <c r="P887">
        <f>COUNTIFS(keyword_comparison[record_identifier],keyword_comparison[[#This Row],[record_identifier]],keyword_comparison[Review],"&lt;&gt;")</f>
        <v>0</v>
      </c>
      <c r="Q887" cm="1">
        <f t="array" ref="Q887">SUMPRODUCT((keyword_comparison[record_identifier]=keyword_comparison[[#This Row],[record_identifier]])*(LEN(keyword_comparison[keyword_matcher_output])&gt;0))</f>
        <v>0</v>
      </c>
    </row>
    <row r="888" spans="1:17" x14ac:dyDescent="0.25">
      <c r="A888" t="s">
        <v>776</v>
      </c>
      <c r="B888" t="s">
        <v>777</v>
      </c>
      <c r="C888" t="s">
        <v>778</v>
      </c>
      <c r="D888" t="s">
        <v>20</v>
      </c>
      <c r="E888" t="s">
        <v>53</v>
      </c>
      <c r="F888" t="s">
        <v>54</v>
      </c>
      <c r="G888" t="s">
        <v>54</v>
      </c>
      <c r="H888" t="s">
        <v>54</v>
      </c>
      <c r="J888" t="s">
        <v>51</v>
      </c>
      <c r="K888" t="s">
        <v>52</v>
      </c>
      <c r="O888">
        <v>4</v>
      </c>
      <c r="P888">
        <f>COUNTIFS(keyword_comparison[record_identifier],keyword_comparison[[#This Row],[record_identifier]],keyword_comparison[Review],"&lt;&gt;")</f>
        <v>0</v>
      </c>
      <c r="Q888" cm="1">
        <f t="array" ref="Q888">SUMPRODUCT((keyword_comparison[record_identifier]=keyword_comparison[[#This Row],[record_identifier]])*(LEN(keyword_comparison[keyword_matcher_output])&gt;0))</f>
        <v>0</v>
      </c>
    </row>
    <row r="889" spans="1:17" x14ac:dyDescent="0.25">
      <c r="A889" t="s">
        <v>776</v>
      </c>
      <c r="B889" t="s">
        <v>777</v>
      </c>
      <c r="C889" t="s">
        <v>778</v>
      </c>
      <c r="D889" t="s">
        <v>20</v>
      </c>
      <c r="E889" t="s">
        <v>53</v>
      </c>
      <c r="F889" t="s">
        <v>54</v>
      </c>
      <c r="G889" t="s">
        <v>54</v>
      </c>
      <c r="H889" t="s">
        <v>54</v>
      </c>
      <c r="J889" t="s">
        <v>781</v>
      </c>
      <c r="K889" t="s">
        <v>782</v>
      </c>
      <c r="O889">
        <v>5</v>
      </c>
      <c r="P889">
        <f>COUNTIFS(keyword_comparison[record_identifier],keyword_comparison[[#This Row],[record_identifier]],keyword_comparison[Review],"&lt;&gt;")</f>
        <v>0</v>
      </c>
      <c r="Q889" cm="1">
        <f t="array" ref="Q889">SUMPRODUCT((keyword_comparison[record_identifier]=keyword_comparison[[#This Row],[record_identifier]])*(LEN(keyword_comparison[keyword_matcher_output])&gt;0))</f>
        <v>0</v>
      </c>
    </row>
    <row r="890" spans="1:17" x14ac:dyDescent="0.25">
      <c r="A890" t="s">
        <v>776</v>
      </c>
      <c r="B890" t="s">
        <v>777</v>
      </c>
      <c r="C890" t="s">
        <v>778</v>
      </c>
      <c r="D890" t="s">
        <v>20</v>
      </c>
      <c r="E890" t="s">
        <v>53</v>
      </c>
      <c r="F890" t="s">
        <v>54</v>
      </c>
      <c r="G890" t="s">
        <v>54</v>
      </c>
      <c r="H890" t="s">
        <v>54</v>
      </c>
      <c r="J890" t="s">
        <v>204</v>
      </c>
      <c r="K890" t="s">
        <v>205</v>
      </c>
      <c r="O890">
        <v>6</v>
      </c>
      <c r="P890">
        <f>COUNTIFS(keyword_comparison[record_identifier],keyword_comparison[[#This Row],[record_identifier]],keyword_comparison[Review],"&lt;&gt;")</f>
        <v>0</v>
      </c>
      <c r="Q890" cm="1">
        <f t="array" ref="Q890">SUMPRODUCT((keyword_comparison[record_identifier]=keyword_comparison[[#This Row],[record_identifier]])*(LEN(keyword_comparison[keyword_matcher_output])&gt;0))</f>
        <v>0</v>
      </c>
    </row>
    <row r="891" spans="1:17" x14ac:dyDescent="0.25">
      <c r="A891" t="s">
        <v>776</v>
      </c>
      <c r="B891" t="s">
        <v>777</v>
      </c>
      <c r="C891" t="s">
        <v>778</v>
      </c>
      <c r="D891" t="s">
        <v>20</v>
      </c>
      <c r="E891" t="s">
        <v>53</v>
      </c>
      <c r="F891" t="s">
        <v>54</v>
      </c>
      <c r="G891" t="s">
        <v>54</v>
      </c>
      <c r="H891" t="s">
        <v>54</v>
      </c>
      <c r="J891" t="s">
        <v>783</v>
      </c>
      <c r="K891" t="s">
        <v>301</v>
      </c>
      <c r="O891">
        <v>7</v>
      </c>
      <c r="P891">
        <f>COUNTIFS(keyword_comparison[record_identifier],keyword_comparison[[#This Row],[record_identifier]],keyword_comparison[Review],"&lt;&gt;")</f>
        <v>0</v>
      </c>
      <c r="Q891" cm="1">
        <f t="array" ref="Q891">SUMPRODUCT((keyword_comparison[record_identifier]=keyword_comparison[[#This Row],[record_identifier]])*(LEN(keyword_comparison[keyword_matcher_output])&gt;0))</f>
        <v>0</v>
      </c>
    </row>
    <row r="892" spans="1:17" x14ac:dyDescent="0.25">
      <c r="A892" t="s">
        <v>776</v>
      </c>
      <c r="B892" t="s">
        <v>777</v>
      </c>
      <c r="C892" t="s">
        <v>778</v>
      </c>
      <c r="D892" t="s">
        <v>20</v>
      </c>
      <c r="E892" t="s">
        <v>53</v>
      </c>
      <c r="F892" t="s">
        <v>54</v>
      </c>
      <c r="G892" t="s">
        <v>54</v>
      </c>
      <c r="H892" t="s">
        <v>54</v>
      </c>
      <c r="J892" t="s">
        <v>784</v>
      </c>
      <c r="K892" t="s">
        <v>785</v>
      </c>
      <c r="O892">
        <v>8</v>
      </c>
      <c r="P892">
        <f>COUNTIFS(keyword_comparison[record_identifier],keyword_comparison[[#This Row],[record_identifier]],keyword_comparison[Review],"&lt;&gt;")</f>
        <v>0</v>
      </c>
      <c r="Q892" cm="1">
        <f t="array" ref="Q892">SUMPRODUCT((keyword_comparison[record_identifier]=keyword_comparison[[#This Row],[record_identifier]])*(LEN(keyword_comparison[keyword_matcher_output])&gt;0))</f>
        <v>0</v>
      </c>
    </row>
    <row r="893" spans="1:17" x14ac:dyDescent="0.25">
      <c r="A893" t="s">
        <v>776</v>
      </c>
      <c r="B893" t="s">
        <v>777</v>
      </c>
      <c r="C893" t="s">
        <v>778</v>
      </c>
      <c r="D893" t="s">
        <v>20</v>
      </c>
      <c r="E893" t="s">
        <v>53</v>
      </c>
      <c r="F893" t="s">
        <v>54</v>
      </c>
      <c r="G893" t="s">
        <v>54</v>
      </c>
      <c r="H893" t="s">
        <v>54</v>
      </c>
      <c r="J893" t="s">
        <v>61</v>
      </c>
      <c r="K893" t="s">
        <v>62</v>
      </c>
      <c r="O893">
        <v>9</v>
      </c>
      <c r="P893">
        <f>COUNTIFS(keyword_comparison[record_identifier],keyword_comparison[[#This Row],[record_identifier]],keyword_comparison[Review],"&lt;&gt;")</f>
        <v>0</v>
      </c>
      <c r="Q893" cm="1">
        <f t="array" ref="Q893">SUMPRODUCT((keyword_comparison[record_identifier]=keyword_comparison[[#This Row],[record_identifier]])*(LEN(keyword_comparison[keyword_matcher_output])&gt;0))</f>
        <v>0</v>
      </c>
    </row>
    <row r="894" spans="1:17" x14ac:dyDescent="0.25">
      <c r="A894" t="s">
        <v>776</v>
      </c>
      <c r="B894" t="s">
        <v>777</v>
      </c>
      <c r="C894" t="s">
        <v>778</v>
      </c>
      <c r="D894" t="s">
        <v>20</v>
      </c>
      <c r="E894" t="s">
        <v>53</v>
      </c>
      <c r="F894" t="s">
        <v>54</v>
      </c>
      <c r="G894" t="s">
        <v>54</v>
      </c>
      <c r="H894" t="s">
        <v>54</v>
      </c>
      <c r="J894" t="s">
        <v>786</v>
      </c>
      <c r="K894" t="s">
        <v>787</v>
      </c>
      <c r="O894">
        <v>10</v>
      </c>
      <c r="P894">
        <f>COUNTIFS(keyword_comparison[record_identifier],keyword_comparison[[#This Row],[record_identifier]],keyword_comparison[Review],"&lt;&gt;")</f>
        <v>0</v>
      </c>
      <c r="Q894" cm="1">
        <f t="array" ref="Q894">SUMPRODUCT((keyword_comparison[record_identifier]=keyword_comparison[[#This Row],[record_identifier]])*(LEN(keyword_comparison[keyword_matcher_output])&gt;0))</f>
        <v>0</v>
      </c>
    </row>
    <row r="895" spans="1:17" x14ac:dyDescent="0.25">
      <c r="A895" t="s">
        <v>788</v>
      </c>
      <c r="B895" t="s">
        <v>789</v>
      </c>
      <c r="C895" t="s">
        <v>790</v>
      </c>
      <c r="D895" t="s">
        <v>20</v>
      </c>
      <c r="E895" t="s">
        <v>33</v>
      </c>
      <c r="H895" t="s">
        <v>54</v>
      </c>
      <c r="J895" t="s">
        <v>762</v>
      </c>
      <c r="K895" t="s">
        <v>169</v>
      </c>
      <c r="M895">
        <v>0.22509999999999999</v>
      </c>
      <c r="N895">
        <v>1</v>
      </c>
      <c r="P895">
        <f>COUNTIFS(keyword_comparison[record_identifier],keyword_comparison[[#This Row],[record_identifier]],keyword_comparison[Review],"&lt;&gt;")</f>
        <v>0</v>
      </c>
      <c r="Q895" cm="1">
        <f t="array" ref="Q895">SUMPRODUCT((keyword_comparison[record_identifier]=keyword_comparison[[#This Row],[record_identifier]])*(LEN(keyword_comparison[keyword_matcher_output])&gt;0))</f>
        <v>0</v>
      </c>
    </row>
    <row r="896" spans="1:17" x14ac:dyDescent="0.25">
      <c r="A896" t="s">
        <v>788</v>
      </c>
      <c r="B896" t="s">
        <v>789</v>
      </c>
      <c r="C896" t="s">
        <v>790</v>
      </c>
      <c r="D896" t="s">
        <v>20</v>
      </c>
      <c r="E896" t="s">
        <v>33</v>
      </c>
      <c r="H896" t="s">
        <v>54</v>
      </c>
      <c r="J896" t="s">
        <v>791</v>
      </c>
      <c r="K896" t="s">
        <v>792</v>
      </c>
      <c r="M896">
        <v>0.1188</v>
      </c>
      <c r="N896">
        <v>2</v>
      </c>
      <c r="P896">
        <f>COUNTIFS(keyword_comparison[record_identifier],keyword_comparison[[#This Row],[record_identifier]],keyword_comparison[Review],"&lt;&gt;")</f>
        <v>0</v>
      </c>
      <c r="Q896" cm="1">
        <f t="array" ref="Q896">SUMPRODUCT((keyword_comparison[record_identifier]=keyword_comparison[[#This Row],[record_identifier]])*(LEN(keyword_comparison[keyword_matcher_output])&gt;0))</f>
        <v>0</v>
      </c>
    </row>
    <row r="897" spans="1:17" x14ac:dyDescent="0.25">
      <c r="A897" t="s">
        <v>788</v>
      </c>
      <c r="B897" t="s">
        <v>789</v>
      </c>
      <c r="C897" t="s">
        <v>790</v>
      </c>
      <c r="D897" t="s">
        <v>20</v>
      </c>
      <c r="E897" t="s">
        <v>33</v>
      </c>
      <c r="H897" t="s">
        <v>54</v>
      </c>
      <c r="J897" t="s">
        <v>793</v>
      </c>
      <c r="K897" t="s">
        <v>794</v>
      </c>
      <c r="M897">
        <v>0.10589999999999999</v>
      </c>
      <c r="N897">
        <v>3</v>
      </c>
      <c r="P897">
        <f>COUNTIFS(keyword_comparison[record_identifier],keyword_comparison[[#This Row],[record_identifier]],keyword_comparison[Review],"&lt;&gt;")</f>
        <v>0</v>
      </c>
      <c r="Q897" cm="1">
        <f t="array" ref="Q897">SUMPRODUCT((keyword_comparison[record_identifier]=keyword_comparison[[#This Row],[record_identifier]])*(LEN(keyword_comparison[keyword_matcher_output])&gt;0))</f>
        <v>0</v>
      </c>
    </row>
    <row r="898" spans="1:17" x14ac:dyDescent="0.25">
      <c r="A898" t="s">
        <v>788</v>
      </c>
      <c r="B898" t="s">
        <v>789</v>
      </c>
      <c r="C898" t="s">
        <v>790</v>
      </c>
      <c r="D898" t="s">
        <v>20</v>
      </c>
      <c r="E898" t="s">
        <v>33</v>
      </c>
      <c r="H898" t="s">
        <v>54</v>
      </c>
      <c r="J898" t="s">
        <v>786</v>
      </c>
      <c r="K898" t="s">
        <v>787</v>
      </c>
      <c r="M898">
        <v>0.1019</v>
      </c>
      <c r="N898">
        <v>4</v>
      </c>
      <c r="P898">
        <f>COUNTIFS(keyword_comparison[record_identifier],keyword_comparison[[#This Row],[record_identifier]],keyword_comparison[Review],"&lt;&gt;")</f>
        <v>0</v>
      </c>
      <c r="Q898" cm="1">
        <f t="array" ref="Q898">SUMPRODUCT((keyword_comparison[record_identifier]=keyword_comparison[[#This Row],[record_identifier]])*(LEN(keyword_comparison[keyword_matcher_output])&gt;0))</f>
        <v>0</v>
      </c>
    </row>
    <row r="899" spans="1:17" x14ac:dyDescent="0.25">
      <c r="A899" t="s">
        <v>788</v>
      </c>
      <c r="B899" t="s">
        <v>789</v>
      </c>
      <c r="C899" t="s">
        <v>790</v>
      </c>
      <c r="D899" t="s">
        <v>20</v>
      </c>
      <c r="E899" t="s">
        <v>33</v>
      </c>
      <c r="H899" t="s">
        <v>54</v>
      </c>
      <c r="J899" t="s">
        <v>545</v>
      </c>
      <c r="K899" t="s">
        <v>546</v>
      </c>
      <c r="M899">
        <v>9.8299999999999998E-2</v>
      </c>
      <c r="N899">
        <v>5</v>
      </c>
      <c r="P899">
        <f>COUNTIFS(keyword_comparison[record_identifier],keyword_comparison[[#This Row],[record_identifier]],keyword_comparison[Review],"&lt;&gt;")</f>
        <v>0</v>
      </c>
      <c r="Q899" cm="1">
        <f t="array" ref="Q899">SUMPRODUCT((keyword_comparison[record_identifier]=keyword_comparison[[#This Row],[record_identifier]])*(LEN(keyword_comparison[keyword_matcher_output])&gt;0))</f>
        <v>0</v>
      </c>
    </row>
    <row r="900" spans="1:17" x14ac:dyDescent="0.25">
      <c r="A900" t="s">
        <v>788</v>
      </c>
      <c r="B900" t="s">
        <v>789</v>
      </c>
      <c r="C900" t="s">
        <v>790</v>
      </c>
      <c r="D900" t="s">
        <v>20</v>
      </c>
      <c r="E900" t="s">
        <v>33</v>
      </c>
      <c r="H900" t="s">
        <v>54</v>
      </c>
      <c r="J900" t="s">
        <v>258</v>
      </c>
      <c r="K900" t="s">
        <v>259</v>
      </c>
      <c r="M900">
        <v>5.9299999999999999E-2</v>
      </c>
      <c r="N900">
        <v>6</v>
      </c>
      <c r="P900">
        <f>COUNTIFS(keyword_comparison[record_identifier],keyword_comparison[[#This Row],[record_identifier]],keyword_comparison[Review],"&lt;&gt;")</f>
        <v>0</v>
      </c>
      <c r="Q900" cm="1">
        <f t="array" ref="Q900">SUMPRODUCT((keyword_comparison[record_identifier]=keyword_comparison[[#This Row],[record_identifier]])*(LEN(keyword_comparison[keyword_matcher_output])&gt;0))</f>
        <v>0</v>
      </c>
    </row>
    <row r="901" spans="1:17" x14ac:dyDescent="0.25">
      <c r="A901" t="s">
        <v>788</v>
      </c>
      <c r="B901" t="s">
        <v>789</v>
      </c>
      <c r="C901" t="s">
        <v>790</v>
      </c>
      <c r="D901" t="s">
        <v>20</v>
      </c>
      <c r="E901" t="s">
        <v>33</v>
      </c>
      <c r="H901" t="s">
        <v>54</v>
      </c>
      <c r="J901" t="s">
        <v>492</v>
      </c>
      <c r="K901" t="s">
        <v>493</v>
      </c>
      <c r="M901">
        <v>5.1499999999999997E-2</v>
      </c>
      <c r="N901">
        <v>7</v>
      </c>
      <c r="P901">
        <f>COUNTIFS(keyword_comparison[record_identifier],keyword_comparison[[#This Row],[record_identifier]],keyword_comparison[Review],"&lt;&gt;")</f>
        <v>0</v>
      </c>
      <c r="Q901" cm="1">
        <f t="array" ref="Q901">SUMPRODUCT((keyword_comparison[record_identifier]=keyword_comparison[[#This Row],[record_identifier]])*(LEN(keyword_comparison[keyword_matcher_output])&gt;0))</f>
        <v>0</v>
      </c>
    </row>
    <row r="902" spans="1:17" x14ac:dyDescent="0.25">
      <c r="A902" t="s">
        <v>788</v>
      </c>
      <c r="B902" t="s">
        <v>789</v>
      </c>
      <c r="C902" t="s">
        <v>790</v>
      </c>
      <c r="D902" t="s">
        <v>20</v>
      </c>
      <c r="E902" t="s">
        <v>33</v>
      </c>
      <c r="H902" t="s">
        <v>54</v>
      </c>
      <c r="J902" t="s">
        <v>649</v>
      </c>
      <c r="K902" t="s">
        <v>650</v>
      </c>
      <c r="M902">
        <v>5.0500000000000003E-2</v>
      </c>
      <c r="N902">
        <v>8</v>
      </c>
      <c r="P902">
        <f>COUNTIFS(keyword_comparison[record_identifier],keyword_comparison[[#This Row],[record_identifier]],keyword_comparison[Review],"&lt;&gt;")</f>
        <v>0</v>
      </c>
      <c r="Q902" cm="1">
        <f t="array" ref="Q902">SUMPRODUCT((keyword_comparison[record_identifier]=keyword_comparison[[#This Row],[record_identifier]])*(LEN(keyword_comparison[keyword_matcher_output])&gt;0))</f>
        <v>0</v>
      </c>
    </row>
    <row r="903" spans="1:17" x14ac:dyDescent="0.25">
      <c r="A903" t="s">
        <v>788</v>
      </c>
      <c r="B903" t="s">
        <v>789</v>
      </c>
      <c r="C903" t="s">
        <v>790</v>
      </c>
      <c r="D903" t="s">
        <v>20</v>
      </c>
      <c r="E903" t="s">
        <v>48</v>
      </c>
      <c r="H903" t="s">
        <v>54</v>
      </c>
      <c r="J903" t="s">
        <v>255</v>
      </c>
      <c r="K903" t="s">
        <v>256</v>
      </c>
      <c r="P903">
        <f>COUNTIFS(keyword_comparison[record_identifier],keyword_comparison[[#This Row],[record_identifier]],keyword_comparison[Review],"&lt;&gt;")</f>
        <v>0</v>
      </c>
      <c r="Q903" cm="1">
        <f t="array" ref="Q903">SUMPRODUCT((keyword_comparison[record_identifier]=keyword_comparison[[#This Row],[record_identifier]])*(LEN(keyword_comparison[keyword_matcher_output])&gt;0))</f>
        <v>0</v>
      </c>
    </row>
    <row r="904" spans="1:17" x14ac:dyDescent="0.25">
      <c r="A904" t="s">
        <v>788</v>
      </c>
      <c r="B904" t="s">
        <v>789</v>
      </c>
      <c r="C904" t="s">
        <v>790</v>
      </c>
      <c r="D904" t="s">
        <v>20</v>
      </c>
      <c r="E904" t="s">
        <v>48</v>
      </c>
      <c r="H904" t="s">
        <v>54</v>
      </c>
      <c r="J904" t="s">
        <v>55</v>
      </c>
      <c r="K904" t="s">
        <v>56</v>
      </c>
      <c r="P904">
        <f>COUNTIFS(keyword_comparison[record_identifier],keyword_comparison[[#This Row],[record_identifier]],keyword_comparison[Review],"&lt;&gt;")</f>
        <v>0</v>
      </c>
      <c r="Q904" cm="1">
        <f t="array" ref="Q904">SUMPRODUCT((keyword_comparison[record_identifier]=keyword_comparison[[#This Row],[record_identifier]])*(LEN(keyword_comparison[keyword_matcher_output])&gt;0))</f>
        <v>0</v>
      </c>
    </row>
    <row r="905" spans="1:17" x14ac:dyDescent="0.25">
      <c r="A905" t="s">
        <v>788</v>
      </c>
      <c r="B905" t="s">
        <v>789</v>
      </c>
      <c r="C905" t="s">
        <v>790</v>
      </c>
      <c r="D905" t="s">
        <v>20</v>
      </c>
      <c r="E905" t="s">
        <v>48</v>
      </c>
      <c r="H905" t="s">
        <v>54</v>
      </c>
      <c r="J905" t="s">
        <v>84</v>
      </c>
      <c r="K905" t="s">
        <v>85</v>
      </c>
      <c r="P905">
        <f>COUNTIFS(keyword_comparison[record_identifier],keyword_comparison[[#This Row],[record_identifier]],keyword_comparison[Review],"&lt;&gt;")</f>
        <v>0</v>
      </c>
      <c r="Q905" cm="1">
        <f t="array" ref="Q905">SUMPRODUCT((keyword_comparison[record_identifier]=keyword_comparison[[#This Row],[record_identifier]])*(LEN(keyword_comparison[keyword_matcher_output])&gt;0))</f>
        <v>0</v>
      </c>
    </row>
    <row r="906" spans="1:17" x14ac:dyDescent="0.25">
      <c r="A906" t="s">
        <v>788</v>
      </c>
      <c r="B906" t="s">
        <v>789</v>
      </c>
      <c r="C906" t="s">
        <v>790</v>
      </c>
      <c r="D906" t="s">
        <v>20</v>
      </c>
      <c r="E906" t="s">
        <v>48</v>
      </c>
      <c r="H906" t="s">
        <v>54</v>
      </c>
      <c r="J906" t="s">
        <v>795</v>
      </c>
      <c r="K906" t="s">
        <v>342</v>
      </c>
      <c r="P906">
        <f>COUNTIFS(keyword_comparison[record_identifier],keyword_comparison[[#This Row],[record_identifier]],keyword_comparison[Review],"&lt;&gt;")</f>
        <v>0</v>
      </c>
      <c r="Q906" cm="1">
        <f t="array" ref="Q906">SUMPRODUCT((keyword_comparison[record_identifier]=keyword_comparison[[#This Row],[record_identifier]])*(LEN(keyword_comparison[keyword_matcher_output])&gt;0))</f>
        <v>0</v>
      </c>
    </row>
    <row r="907" spans="1:17" x14ac:dyDescent="0.25">
      <c r="A907" t="s">
        <v>788</v>
      </c>
      <c r="B907" t="s">
        <v>789</v>
      </c>
      <c r="C907" t="s">
        <v>790</v>
      </c>
      <c r="D907" t="s">
        <v>20</v>
      </c>
      <c r="E907" t="s">
        <v>48</v>
      </c>
      <c r="H907" t="s">
        <v>54</v>
      </c>
      <c r="J907" t="s">
        <v>206</v>
      </c>
      <c r="K907" t="s">
        <v>60</v>
      </c>
      <c r="P907">
        <f>COUNTIFS(keyword_comparison[record_identifier],keyword_comparison[[#This Row],[record_identifier]],keyword_comparison[Review],"&lt;&gt;")</f>
        <v>0</v>
      </c>
      <c r="Q907" cm="1">
        <f t="array" ref="Q907">SUMPRODUCT((keyword_comparison[record_identifier]=keyword_comparison[[#This Row],[record_identifier]])*(LEN(keyword_comparison[keyword_matcher_output])&gt;0))</f>
        <v>0</v>
      </c>
    </row>
    <row r="908" spans="1:17" x14ac:dyDescent="0.25">
      <c r="A908" t="s">
        <v>788</v>
      </c>
      <c r="B908" t="s">
        <v>789</v>
      </c>
      <c r="C908" t="s">
        <v>790</v>
      </c>
      <c r="D908" t="s">
        <v>20</v>
      </c>
      <c r="E908" t="s">
        <v>48</v>
      </c>
      <c r="H908" t="s">
        <v>54</v>
      </c>
      <c r="J908" t="s">
        <v>762</v>
      </c>
      <c r="K908" t="s">
        <v>169</v>
      </c>
      <c r="P908">
        <f>COUNTIFS(keyword_comparison[record_identifier],keyword_comparison[[#This Row],[record_identifier]],keyword_comparison[Review],"&lt;&gt;")</f>
        <v>0</v>
      </c>
      <c r="Q908" cm="1">
        <f t="array" ref="Q908">SUMPRODUCT((keyword_comparison[record_identifier]=keyword_comparison[[#This Row],[record_identifier]])*(LEN(keyword_comparison[keyword_matcher_output])&gt;0))</f>
        <v>0</v>
      </c>
    </row>
    <row r="909" spans="1:17" x14ac:dyDescent="0.25">
      <c r="A909" t="s">
        <v>788</v>
      </c>
      <c r="B909" t="s">
        <v>789</v>
      </c>
      <c r="C909" t="s">
        <v>790</v>
      </c>
      <c r="D909" t="s">
        <v>20</v>
      </c>
      <c r="E909" t="s">
        <v>48</v>
      </c>
      <c r="H909" t="s">
        <v>54</v>
      </c>
      <c r="J909" t="s">
        <v>34</v>
      </c>
      <c r="K909" t="s">
        <v>35</v>
      </c>
      <c r="P909">
        <f>COUNTIFS(keyword_comparison[record_identifier],keyword_comparison[[#This Row],[record_identifier]],keyword_comparison[Review],"&lt;&gt;")</f>
        <v>0</v>
      </c>
      <c r="Q909" cm="1">
        <f t="array" ref="Q909">SUMPRODUCT((keyword_comparison[record_identifier]=keyword_comparison[[#This Row],[record_identifier]])*(LEN(keyword_comparison[keyword_matcher_output])&gt;0))</f>
        <v>0</v>
      </c>
    </row>
    <row r="910" spans="1:17" x14ac:dyDescent="0.25">
      <c r="A910" t="s">
        <v>788</v>
      </c>
      <c r="B910" t="s">
        <v>789</v>
      </c>
      <c r="C910" t="s">
        <v>790</v>
      </c>
      <c r="D910" t="s">
        <v>20</v>
      </c>
      <c r="E910" t="s">
        <v>53</v>
      </c>
      <c r="F910" t="s">
        <v>54</v>
      </c>
      <c r="G910" t="s">
        <v>54</v>
      </c>
      <c r="H910" t="s">
        <v>54</v>
      </c>
      <c r="J910" t="s">
        <v>762</v>
      </c>
      <c r="K910" t="s">
        <v>169</v>
      </c>
      <c r="O910">
        <v>1</v>
      </c>
      <c r="P910">
        <f>COUNTIFS(keyword_comparison[record_identifier],keyword_comparison[[#This Row],[record_identifier]],keyword_comparison[Review],"&lt;&gt;")</f>
        <v>0</v>
      </c>
      <c r="Q910" cm="1">
        <f t="array" ref="Q910">SUMPRODUCT((keyword_comparison[record_identifier]=keyword_comparison[[#This Row],[record_identifier]])*(LEN(keyword_comparison[keyword_matcher_output])&gt;0))</f>
        <v>0</v>
      </c>
    </row>
    <row r="911" spans="1:17" x14ac:dyDescent="0.25">
      <c r="A911" t="s">
        <v>788</v>
      </c>
      <c r="B911" t="s">
        <v>789</v>
      </c>
      <c r="C911" t="s">
        <v>790</v>
      </c>
      <c r="D911" t="s">
        <v>20</v>
      </c>
      <c r="E911" t="s">
        <v>53</v>
      </c>
      <c r="F911" t="s">
        <v>54</v>
      </c>
      <c r="G911" t="s">
        <v>54</v>
      </c>
      <c r="H911" t="s">
        <v>54</v>
      </c>
      <c r="J911" t="s">
        <v>206</v>
      </c>
      <c r="K911" t="s">
        <v>60</v>
      </c>
      <c r="O911">
        <v>2</v>
      </c>
      <c r="P911">
        <f>COUNTIFS(keyword_comparison[record_identifier],keyword_comparison[[#This Row],[record_identifier]],keyword_comparison[Review],"&lt;&gt;")</f>
        <v>0</v>
      </c>
      <c r="Q911" cm="1">
        <f t="array" ref="Q911">SUMPRODUCT((keyword_comparison[record_identifier]=keyword_comparison[[#This Row],[record_identifier]])*(LEN(keyword_comparison[keyword_matcher_output])&gt;0))</f>
        <v>0</v>
      </c>
    </row>
    <row r="912" spans="1:17" x14ac:dyDescent="0.25">
      <c r="A912" t="s">
        <v>788</v>
      </c>
      <c r="B912" t="s">
        <v>789</v>
      </c>
      <c r="C912" t="s">
        <v>790</v>
      </c>
      <c r="D912" t="s">
        <v>20</v>
      </c>
      <c r="E912" t="s">
        <v>53</v>
      </c>
      <c r="F912" t="s">
        <v>54</v>
      </c>
      <c r="G912" t="s">
        <v>54</v>
      </c>
      <c r="H912" t="s">
        <v>54</v>
      </c>
      <c r="J912" t="s">
        <v>255</v>
      </c>
      <c r="K912" t="s">
        <v>256</v>
      </c>
      <c r="O912">
        <v>3</v>
      </c>
      <c r="P912">
        <f>COUNTIFS(keyword_comparison[record_identifier],keyword_comparison[[#This Row],[record_identifier]],keyword_comparison[Review],"&lt;&gt;")</f>
        <v>0</v>
      </c>
      <c r="Q912" cm="1">
        <f t="array" ref="Q912">SUMPRODUCT((keyword_comparison[record_identifier]=keyword_comparison[[#This Row],[record_identifier]])*(LEN(keyword_comparison[keyword_matcher_output])&gt;0))</f>
        <v>0</v>
      </c>
    </row>
    <row r="913" spans="1:17" x14ac:dyDescent="0.25">
      <c r="A913" t="s">
        <v>788</v>
      </c>
      <c r="B913" t="s">
        <v>789</v>
      </c>
      <c r="C913" t="s">
        <v>790</v>
      </c>
      <c r="D913" t="s">
        <v>20</v>
      </c>
      <c r="E913" t="s">
        <v>53</v>
      </c>
      <c r="F913" t="s">
        <v>54</v>
      </c>
      <c r="G913" t="s">
        <v>54</v>
      </c>
      <c r="H913" t="s">
        <v>54</v>
      </c>
      <c r="J913" t="s">
        <v>796</v>
      </c>
      <c r="K913" t="s">
        <v>797</v>
      </c>
      <c r="O913">
        <v>4</v>
      </c>
      <c r="P913">
        <f>COUNTIFS(keyword_comparison[record_identifier],keyword_comparison[[#This Row],[record_identifier]],keyword_comparison[Review],"&lt;&gt;")</f>
        <v>0</v>
      </c>
      <c r="Q913" cm="1">
        <f t="array" ref="Q913">SUMPRODUCT((keyword_comparison[record_identifier]=keyword_comparison[[#This Row],[record_identifier]])*(LEN(keyword_comparison[keyword_matcher_output])&gt;0))</f>
        <v>0</v>
      </c>
    </row>
    <row r="914" spans="1:17" x14ac:dyDescent="0.25">
      <c r="A914" t="s">
        <v>788</v>
      </c>
      <c r="B914" t="s">
        <v>789</v>
      </c>
      <c r="C914" t="s">
        <v>790</v>
      </c>
      <c r="D914" t="s">
        <v>20</v>
      </c>
      <c r="E914" t="s">
        <v>53</v>
      </c>
      <c r="F914" t="s">
        <v>54</v>
      </c>
      <c r="G914" t="s">
        <v>54</v>
      </c>
      <c r="H914" t="s">
        <v>54</v>
      </c>
      <c r="J914" t="s">
        <v>34</v>
      </c>
      <c r="K914" t="s">
        <v>35</v>
      </c>
      <c r="O914">
        <v>5</v>
      </c>
      <c r="P914">
        <f>COUNTIFS(keyword_comparison[record_identifier],keyword_comparison[[#This Row],[record_identifier]],keyword_comparison[Review],"&lt;&gt;")</f>
        <v>0</v>
      </c>
      <c r="Q914" cm="1">
        <f t="array" ref="Q914">SUMPRODUCT((keyword_comparison[record_identifier]=keyword_comparison[[#This Row],[record_identifier]])*(LEN(keyword_comparison[keyword_matcher_output])&gt;0))</f>
        <v>0</v>
      </c>
    </row>
    <row r="915" spans="1:17" x14ac:dyDescent="0.25">
      <c r="A915" t="s">
        <v>788</v>
      </c>
      <c r="B915" t="s">
        <v>789</v>
      </c>
      <c r="C915" t="s">
        <v>790</v>
      </c>
      <c r="D915" t="s">
        <v>20</v>
      </c>
      <c r="E915" t="s">
        <v>53</v>
      </c>
      <c r="F915" t="s">
        <v>54</v>
      </c>
      <c r="G915" t="s">
        <v>54</v>
      </c>
      <c r="H915" t="s">
        <v>54</v>
      </c>
      <c r="J915" t="s">
        <v>89</v>
      </c>
      <c r="K915" t="s">
        <v>90</v>
      </c>
      <c r="O915">
        <v>6</v>
      </c>
      <c r="P915">
        <f>COUNTIFS(keyword_comparison[record_identifier],keyword_comparison[[#This Row],[record_identifier]],keyword_comparison[Review],"&lt;&gt;")</f>
        <v>0</v>
      </c>
      <c r="Q915" cm="1">
        <f t="array" ref="Q915">SUMPRODUCT((keyword_comparison[record_identifier]=keyword_comparison[[#This Row],[record_identifier]])*(LEN(keyword_comparison[keyword_matcher_output])&gt;0))</f>
        <v>0</v>
      </c>
    </row>
    <row r="916" spans="1:17" x14ac:dyDescent="0.25">
      <c r="A916" t="s">
        <v>788</v>
      </c>
      <c r="B916" t="s">
        <v>789</v>
      </c>
      <c r="C916" t="s">
        <v>790</v>
      </c>
      <c r="D916" t="s">
        <v>20</v>
      </c>
      <c r="E916" t="s">
        <v>53</v>
      </c>
      <c r="F916" t="s">
        <v>54</v>
      </c>
      <c r="G916" t="s">
        <v>54</v>
      </c>
      <c r="H916" t="s">
        <v>54</v>
      </c>
      <c r="J916" t="s">
        <v>795</v>
      </c>
      <c r="K916" t="s">
        <v>342</v>
      </c>
      <c r="O916">
        <v>7</v>
      </c>
      <c r="P916">
        <f>COUNTIFS(keyword_comparison[record_identifier],keyword_comparison[[#This Row],[record_identifier]],keyword_comparison[Review],"&lt;&gt;")</f>
        <v>0</v>
      </c>
      <c r="Q916" cm="1">
        <f t="array" ref="Q916">SUMPRODUCT((keyword_comparison[record_identifier]=keyword_comparison[[#This Row],[record_identifier]])*(LEN(keyword_comparison[keyword_matcher_output])&gt;0))</f>
        <v>0</v>
      </c>
    </row>
    <row r="917" spans="1:17" x14ac:dyDescent="0.25">
      <c r="A917" t="s">
        <v>788</v>
      </c>
      <c r="B917" t="s">
        <v>789</v>
      </c>
      <c r="C917" t="s">
        <v>790</v>
      </c>
      <c r="D917" t="s">
        <v>20</v>
      </c>
      <c r="E917" t="s">
        <v>53</v>
      </c>
      <c r="F917" t="s">
        <v>54</v>
      </c>
      <c r="G917" t="s">
        <v>54</v>
      </c>
      <c r="H917" t="s">
        <v>54</v>
      </c>
      <c r="J917" t="s">
        <v>204</v>
      </c>
      <c r="K917" t="s">
        <v>205</v>
      </c>
      <c r="O917">
        <v>8</v>
      </c>
      <c r="P917">
        <f>COUNTIFS(keyword_comparison[record_identifier],keyword_comparison[[#This Row],[record_identifier]],keyword_comparison[Review],"&lt;&gt;")</f>
        <v>0</v>
      </c>
      <c r="Q917" cm="1">
        <f t="array" ref="Q917">SUMPRODUCT((keyword_comparison[record_identifier]=keyword_comparison[[#This Row],[record_identifier]])*(LEN(keyword_comparison[keyword_matcher_output])&gt;0))</f>
        <v>0</v>
      </c>
    </row>
    <row r="918" spans="1:17" x14ac:dyDescent="0.25">
      <c r="A918" t="s">
        <v>788</v>
      </c>
      <c r="B918" t="s">
        <v>789</v>
      </c>
      <c r="C918" t="s">
        <v>790</v>
      </c>
      <c r="D918" t="s">
        <v>20</v>
      </c>
      <c r="E918" t="s">
        <v>53</v>
      </c>
      <c r="F918" t="s">
        <v>54</v>
      </c>
      <c r="G918" t="s">
        <v>54</v>
      </c>
      <c r="H918" t="s">
        <v>54</v>
      </c>
      <c r="J918" t="s">
        <v>258</v>
      </c>
      <c r="K918" t="s">
        <v>259</v>
      </c>
      <c r="O918">
        <v>9</v>
      </c>
      <c r="P918">
        <f>COUNTIFS(keyword_comparison[record_identifier],keyword_comparison[[#This Row],[record_identifier]],keyword_comparison[Review],"&lt;&gt;")</f>
        <v>0</v>
      </c>
      <c r="Q918" cm="1">
        <f t="array" ref="Q918">SUMPRODUCT((keyword_comparison[record_identifier]=keyword_comparison[[#This Row],[record_identifier]])*(LEN(keyword_comparison[keyword_matcher_output])&gt;0))</f>
        <v>0</v>
      </c>
    </row>
    <row r="919" spans="1:17" x14ac:dyDescent="0.25">
      <c r="A919" t="s">
        <v>788</v>
      </c>
      <c r="B919" t="s">
        <v>789</v>
      </c>
      <c r="C919" t="s">
        <v>790</v>
      </c>
      <c r="D919" t="s">
        <v>20</v>
      </c>
      <c r="E919" t="s">
        <v>53</v>
      </c>
      <c r="F919" t="s">
        <v>54</v>
      </c>
      <c r="G919" t="s">
        <v>54</v>
      </c>
      <c r="H919" t="s">
        <v>54</v>
      </c>
      <c r="J919" t="s">
        <v>103</v>
      </c>
      <c r="K919" t="s">
        <v>104</v>
      </c>
      <c r="O919">
        <v>10</v>
      </c>
      <c r="P919">
        <f>COUNTIFS(keyword_comparison[record_identifier],keyword_comparison[[#This Row],[record_identifier]],keyword_comparison[Review],"&lt;&gt;")</f>
        <v>0</v>
      </c>
      <c r="Q919" cm="1">
        <f t="array" ref="Q919">SUMPRODUCT((keyword_comparison[record_identifier]=keyword_comparison[[#This Row],[record_identifier]])*(LEN(keyword_comparison[keyword_matcher_output])&gt;0))</f>
        <v>0</v>
      </c>
    </row>
    <row r="920" spans="1:17" x14ac:dyDescent="0.25">
      <c r="A920" t="s">
        <v>798</v>
      </c>
      <c r="B920" t="s">
        <v>799</v>
      </c>
      <c r="C920" t="s">
        <v>800</v>
      </c>
      <c r="D920" t="s">
        <v>20</v>
      </c>
      <c r="E920" t="s">
        <v>33</v>
      </c>
      <c r="H920" t="s">
        <v>54</v>
      </c>
      <c r="I920" t="s">
        <v>80</v>
      </c>
      <c r="J920" t="s">
        <v>577</v>
      </c>
      <c r="K920" t="s">
        <v>578</v>
      </c>
      <c r="M920">
        <v>0.85150000000000003</v>
      </c>
      <c r="N920">
        <v>1</v>
      </c>
      <c r="P920">
        <f>COUNTIFS(keyword_comparison[record_identifier],keyword_comparison[[#This Row],[record_identifier]],keyword_comparison[Review],"&lt;&gt;")</f>
        <v>11</v>
      </c>
      <c r="Q920" cm="1">
        <f t="array" ref="Q920">SUMPRODUCT((keyword_comparison[record_identifier]=keyword_comparison[[#This Row],[record_identifier]])*(LEN(keyword_comparison[keyword_matcher_output])&gt;0))</f>
        <v>0</v>
      </c>
    </row>
    <row r="921" spans="1:17" x14ac:dyDescent="0.25">
      <c r="A921" t="s">
        <v>798</v>
      </c>
      <c r="B921" t="s">
        <v>799</v>
      </c>
      <c r="C921" t="s">
        <v>800</v>
      </c>
      <c r="D921" t="s">
        <v>20</v>
      </c>
      <c r="E921" t="s">
        <v>33</v>
      </c>
      <c r="H921" t="s">
        <v>54</v>
      </c>
      <c r="I921" t="s">
        <v>80</v>
      </c>
      <c r="J921" t="s">
        <v>801</v>
      </c>
      <c r="K921" t="s">
        <v>802</v>
      </c>
      <c r="M921">
        <v>0.21970000000000001</v>
      </c>
      <c r="N921">
        <v>2</v>
      </c>
      <c r="P921">
        <f>COUNTIFS(keyword_comparison[record_identifier],keyword_comparison[[#This Row],[record_identifier]],keyword_comparison[Review],"&lt;&gt;")</f>
        <v>11</v>
      </c>
      <c r="Q921" cm="1">
        <f t="array" ref="Q921">SUMPRODUCT((keyword_comparison[record_identifier]=keyword_comparison[[#This Row],[record_identifier]])*(LEN(keyword_comparison[keyword_matcher_output])&gt;0))</f>
        <v>0</v>
      </c>
    </row>
    <row r="922" spans="1:17" x14ac:dyDescent="0.25">
      <c r="A922" t="s">
        <v>798</v>
      </c>
      <c r="B922" t="s">
        <v>799</v>
      </c>
      <c r="C922" t="s">
        <v>800</v>
      </c>
      <c r="D922" t="s">
        <v>20</v>
      </c>
      <c r="E922" t="s">
        <v>33</v>
      </c>
      <c r="H922" t="s">
        <v>54</v>
      </c>
      <c r="I922" t="s">
        <v>88</v>
      </c>
      <c r="J922" t="s">
        <v>803</v>
      </c>
      <c r="K922" t="s">
        <v>804</v>
      </c>
      <c r="M922">
        <v>0.1179</v>
      </c>
      <c r="N922">
        <v>3</v>
      </c>
      <c r="P922">
        <f>COUNTIFS(keyword_comparison[record_identifier],keyword_comparison[[#This Row],[record_identifier]],keyword_comparison[Review],"&lt;&gt;")</f>
        <v>11</v>
      </c>
      <c r="Q922" cm="1">
        <f t="array" ref="Q922">SUMPRODUCT((keyword_comparison[record_identifier]=keyword_comparison[[#This Row],[record_identifier]])*(LEN(keyword_comparison[keyword_matcher_output])&gt;0))</f>
        <v>0</v>
      </c>
    </row>
    <row r="923" spans="1:17" x14ac:dyDescent="0.25">
      <c r="A923" t="s">
        <v>798</v>
      </c>
      <c r="B923" t="s">
        <v>799</v>
      </c>
      <c r="C923" t="s">
        <v>800</v>
      </c>
      <c r="D923" t="s">
        <v>20</v>
      </c>
      <c r="E923" t="s">
        <v>33</v>
      </c>
      <c r="H923" t="s">
        <v>54</v>
      </c>
      <c r="I923" t="s">
        <v>88</v>
      </c>
      <c r="J923" t="s">
        <v>805</v>
      </c>
      <c r="K923" t="s">
        <v>806</v>
      </c>
      <c r="M923">
        <v>0.1089</v>
      </c>
      <c r="N923">
        <v>4</v>
      </c>
      <c r="P923">
        <f>COUNTIFS(keyword_comparison[record_identifier],keyword_comparison[[#This Row],[record_identifier]],keyword_comparison[Review],"&lt;&gt;")</f>
        <v>11</v>
      </c>
      <c r="Q923" cm="1">
        <f t="array" ref="Q923">SUMPRODUCT((keyword_comparison[record_identifier]=keyword_comparison[[#This Row],[record_identifier]])*(LEN(keyword_comparison[keyword_matcher_output])&gt;0))</f>
        <v>0</v>
      </c>
    </row>
    <row r="924" spans="1:17" x14ac:dyDescent="0.25">
      <c r="A924" t="s">
        <v>798</v>
      </c>
      <c r="B924" t="s">
        <v>799</v>
      </c>
      <c r="C924" t="s">
        <v>800</v>
      </c>
      <c r="D924" t="s">
        <v>20</v>
      </c>
      <c r="E924" t="s">
        <v>33</v>
      </c>
      <c r="H924" t="s">
        <v>54</v>
      </c>
      <c r="I924" t="s">
        <v>88</v>
      </c>
      <c r="J924" t="s">
        <v>807</v>
      </c>
      <c r="K924" t="s">
        <v>808</v>
      </c>
      <c r="M924">
        <v>7.1099999999999997E-2</v>
      </c>
      <c r="N924">
        <v>5</v>
      </c>
      <c r="P924">
        <f>COUNTIFS(keyword_comparison[record_identifier],keyword_comparison[[#This Row],[record_identifier]],keyword_comparison[Review],"&lt;&gt;")</f>
        <v>11</v>
      </c>
      <c r="Q924" cm="1">
        <f t="array" ref="Q924">SUMPRODUCT((keyword_comparison[record_identifier]=keyword_comparison[[#This Row],[record_identifier]])*(LEN(keyword_comparison[keyword_matcher_output])&gt;0))</f>
        <v>0</v>
      </c>
    </row>
    <row r="925" spans="1:17" x14ac:dyDescent="0.25">
      <c r="A925" t="s">
        <v>798</v>
      </c>
      <c r="B925" t="s">
        <v>799</v>
      </c>
      <c r="C925" t="s">
        <v>800</v>
      </c>
      <c r="D925" t="s">
        <v>20</v>
      </c>
      <c r="E925" t="s">
        <v>48</v>
      </c>
      <c r="H925" t="s">
        <v>54</v>
      </c>
      <c r="I925" t="s">
        <v>80</v>
      </c>
      <c r="J925" t="s">
        <v>577</v>
      </c>
      <c r="K925" t="s">
        <v>578</v>
      </c>
      <c r="P925">
        <f>COUNTIFS(keyword_comparison[record_identifier],keyword_comparison[[#This Row],[record_identifier]],keyword_comparison[Review],"&lt;&gt;")</f>
        <v>11</v>
      </c>
      <c r="Q925" cm="1">
        <f t="array" ref="Q925">SUMPRODUCT((keyword_comparison[record_identifier]=keyword_comparison[[#This Row],[record_identifier]])*(LEN(keyword_comparison[keyword_matcher_output])&gt;0))</f>
        <v>0</v>
      </c>
    </row>
    <row r="926" spans="1:17" x14ac:dyDescent="0.25">
      <c r="A926" t="s">
        <v>798</v>
      </c>
      <c r="B926" t="s">
        <v>799</v>
      </c>
      <c r="C926" t="s">
        <v>800</v>
      </c>
      <c r="D926" t="s">
        <v>20</v>
      </c>
      <c r="E926" t="s">
        <v>48</v>
      </c>
      <c r="H926" t="s">
        <v>54</v>
      </c>
      <c r="I926" t="s">
        <v>80</v>
      </c>
      <c r="J926" t="s">
        <v>51</v>
      </c>
      <c r="K926" t="s">
        <v>52</v>
      </c>
      <c r="P926">
        <f>COUNTIFS(keyword_comparison[record_identifier],keyword_comparison[[#This Row],[record_identifier]],keyword_comparison[Review],"&lt;&gt;")</f>
        <v>11</v>
      </c>
      <c r="Q926" cm="1">
        <f t="array" ref="Q926">SUMPRODUCT((keyword_comparison[record_identifier]=keyword_comparison[[#This Row],[record_identifier]])*(LEN(keyword_comparison[keyword_matcher_output])&gt;0))</f>
        <v>0</v>
      </c>
    </row>
    <row r="927" spans="1:17" x14ac:dyDescent="0.25">
      <c r="A927" t="s">
        <v>798</v>
      </c>
      <c r="B927" t="s">
        <v>799</v>
      </c>
      <c r="C927" t="s">
        <v>800</v>
      </c>
      <c r="D927" t="s">
        <v>20</v>
      </c>
      <c r="E927" t="s">
        <v>48</v>
      </c>
      <c r="H927" t="s">
        <v>54</v>
      </c>
      <c r="I927" t="s">
        <v>88</v>
      </c>
      <c r="J927" t="s">
        <v>421</v>
      </c>
      <c r="K927" t="s">
        <v>422</v>
      </c>
      <c r="P927">
        <f>COUNTIFS(keyword_comparison[record_identifier],keyword_comparison[[#This Row],[record_identifier]],keyword_comparison[Review],"&lt;&gt;")</f>
        <v>11</v>
      </c>
      <c r="Q927" cm="1">
        <f t="array" ref="Q927">SUMPRODUCT((keyword_comparison[record_identifier]=keyword_comparison[[#This Row],[record_identifier]])*(LEN(keyword_comparison[keyword_matcher_output])&gt;0))</f>
        <v>0</v>
      </c>
    </row>
    <row r="928" spans="1:17" x14ac:dyDescent="0.25">
      <c r="A928" t="s">
        <v>798</v>
      </c>
      <c r="B928" t="s">
        <v>799</v>
      </c>
      <c r="C928" t="s">
        <v>800</v>
      </c>
      <c r="D928" t="s">
        <v>20</v>
      </c>
      <c r="E928" t="s">
        <v>48</v>
      </c>
      <c r="H928" t="s">
        <v>54</v>
      </c>
      <c r="I928" t="s">
        <v>88</v>
      </c>
      <c r="J928" t="s">
        <v>84</v>
      </c>
      <c r="K928" t="s">
        <v>85</v>
      </c>
      <c r="P928">
        <f>COUNTIFS(keyword_comparison[record_identifier],keyword_comparison[[#This Row],[record_identifier]],keyword_comparison[Review],"&lt;&gt;")</f>
        <v>11</v>
      </c>
      <c r="Q928" cm="1">
        <f t="array" ref="Q928">SUMPRODUCT((keyword_comparison[record_identifier]=keyword_comparison[[#This Row],[record_identifier]])*(LEN(keyword_comparison[keyword_matcher_output])&gt;0))</f>
        <v>0</v>
      </c>
    </row>
    <row r="929" spans="1:17" x14ac:dyDescent="0.25">
      <c r="A929" t="s">
        <v>798</v>
      </c>
      <c r="B929" t="s">
        <v>799</v>
      </c>
      <c r="C929" t="s">
        <v>800</v>
      </c>
      <c r="D929" t="s">
        <v>20</v>
      </c>
      <c r="E929" t="s">
        <v>48</v>
      </c>
      <c r="H929" t="s">
        <v>54</v>
      </c>
      <c r="I929" t="s">
        <v>88</v>
      </c>
      <c r="J929" t="s">
        <v>477</v>
      </c>
      <c r="K929" t="s">
        <v>478</v>
      </c>
      <c r="P929">
        <f>COUNTIFS(keyword_comparison[record_identifier],keyword_comparison[[#This Row],[record_identifier]],keyword_comparison[Review],"&lt;&gt;")</f>
        <v>11</v>
      </c>
      <c r="Q929" cm="1">
        <f t="array" ref="Q929">SUMPRODUCT((keyword_comparison[record_identifier]=keyword_comparison[[#This Row],[record_identifier]])*(LEN(keyword_comparison[keyword_matcher_output])&gt;0))</f>
        <v>0</v>
      </c>
    </row>
    <row r="930" spans="1:17" x14ac:dyDescent="0.25">
      <c r="A930" t="s">
        <v>798</v>
      </c>
      <c r="B930" t="s">
        <v>799</v>
      </c>
      <c r="C930" t="s">
        <v>800</v>
      </c>
      <c r="D930" t="s">
        <v>20</v>
      </c>
      <c r="E930" t="s">
        <v>48</v>
      </c>
      <c r="H930" t="s">
        <v>54</v>
      </c>
      <c r="I930" t="s">
        <v>88</v>
      </c>
      <c r="J930" t="s">
        <v>445</v>
      </c>
      <c r="K930" t="s">
        <v>446</v>
      </c>
      <c r="P930">
        <f>COUNTIFS(keyword_comparison[record_identifier],keyword_comparison[[#This Row],[record_identifier]],keyword_comparison[Review],"&lt;&gt;")</f>
        <v>11</v>
      </c>
      <c r="Q930" cm="1">
        <f t="array" ref="Q930">SUMPRODUCT((keyword_comparison[record_identifier]=keyword_comparison[[#This Row],[record_identifier]])*(LEN(keyword_comparison[keyword_matcher_output])&gt;0))</f>
        <v>0</v>
      </c>
    </row>
    <row r="931" spans="1:17" x14ac:dyDescent="0.25">
      <c r="A931" t="s">
        <v>798</v>
      </c>
      <c r="B931" t="s">
        <v>799</v>
      </c>
      <c r="C931" t="s">
        <v>800</v>
      </c>
      <c r="D931" t="s">
        <v>20</v>
      </c>
      <c r="E931" t="s">
        <v>53</v>
      </c>
      <c r="F931" t="s">
        <v>54</v>
      </c>
      <c r="G931" t="s">
        <v>54</v>
      </c>
      <c r="H931" t="s">
        <v>54</v>
      </c>
      <c r="J931" t="s">
        <v>577</v>
      </c>
      <c r="K931" t="s">
        <v>578</v>
      </c>
      <c r="O931">
        <v>1</v>
      </c>
      <c r="P931">
        <f>COUNTIFS(keyword_comparison[record_identifier],keyword_comparison[[#This Row],[record_identifier]],keyword_comparison[Review],"&lt;&gt;")</f>
        <v>11</v>
      </c>
      <c r="Q931" cm="1">
        <f t="array" ref="Q931">SUMPRODUCT((keyword_comparison[record_identifier]=keyword_comparison[[#This Row],[record_identifier]])*(LEN(keyword_comparison[keyword_matcher_output])&gt;0))</f>
        <v>0</v>
      </c>
    </row>
    <row r="932" spans="1:17" x14ac:dyDescent="0.25">
      <c r="A932" t="s">
        <v>798</v>
      </c>
      <c r="B932" t="s">
        <v>799</v>
      </c>
      <c r="C932" t="s">
        <v>800</v>
      </c>
      <c r="D932" t="s">
        <v>20</v>
      </c>
      <c r="E932" t="s">
        <v>53</v>
      </c>
      <c r="F932" t="s">
        <v>54</v>
      </c>
      <c r="G932" t="s">
        <v>54</v>
      </c>
      <c r="H932" t="s">
        <v>54</v>
      </c>
      <c r="J932" t="s">
        <v>51</v>
      </c>
      <c r="K932" t="s">
        <v>52</v>
      </c>
      <c r="O932">
        <v>2</v>
      </c>
      <c r="P932">
        <f>COUNTIFS(keyword_comparison[record_identifier],keyword_comparison[[#This Row],[record_identifier]],keyword_comparison[Review],"&lt;&gt;")</f>
        <v>11</v>
      </c>
      <c r="Q932" cm="1">
        <f t="array" ref="Q932">SUMPRODUCT((keyword_comparison[record_identifier]=keyword_comparison[[#This Row],[record_identifier]])*(LEN(keyword_comparison[keyword_matcher_output])&gt;0))</f>
        <v>0</v>
      </c>
    </row>
    <row r="933" spans="1:17" x14ac:dyDescent="0.25">
      <c r="A933" t="s">
        <v>798</v>
      </c>
      <c r="B933" t="s">
        <v>799</v>
      </c>
      <c r="C933" t="s">
        <v>800</v>
      </c>
      <c r="D933" t="s">
        <v>20</v>
      </c>
      <c r="E933" t="s">
        <v>53</v>
      </c>
      <c r="F933" t="s">
        <v>54</v>
      </c>
      <c r="G933" t="s">
        <v>54</v>
      </c>
      <c r="H933" t="s">
        <v>54</v>
      </c>
      <c r="J933" t="s">
        <v>421</v>
      </c>
      <c r="K933" t="s">
        <v>422</v>
      </c>
      <c r="O933">
        <v>3</v>
      </c>
      <c r="P933">
        <f>COUNTIFS(keyword_comparison[record_identifier],keyword_comparison[[#This Row],[record_identifier]],keyword_comparison[Review],"&lt;&gt;")</f>
        <v>11</v>
      </c>
      <c r="Q933" cm="1">
        <f t="array" ref="Q933">SUMPRODUCT((keyword_comparison[record_identifier]=keyword_comparison[[#This Row],[record_identifier]])*(LEN(keyword_comparison[keyword_matcher_output])&gt;0))</f>
        <v>0</v>
      </c>
    </row>
    <row r="934" spans="1:17" x14ac:dyDescent="0.25">
      <c r="A934" t="s">
        <v>798</v>
      </c>
      <c r="B934" t="s">
        <v>799</v>
      </c>
      <c r="C934" t="s">
        <v>800</v>
      </c>
      <c r="D934" t="s">
        <v>20</v>
      </c>
      <c r="E934" t="s">
        <v>53</v>
      </c>
      <c r="F934" t="s">
        <v>54</v>
      </c>
      <c r="G934" t="s">
        <v>54</v>
      </c>
      <c r="H934" t="s">
        <v>54</v>
      </c>
      <c r="J934" t="s">
        <v>445</v>
      </c>
      <c r="K934" t="s">
        <v>446</v>
      </c>
      <c r="O934">
        <v>4</v>
      </c>
      <c r="P934">
        <f>COUNTIFS(keyword_comparison[record_identifier],keyword_comparison[[#This Row],[record_identifier]],keyword_comparison[Review],"&lt;&gt;")</f>
        <v>11</v>
      </c>
      <c r="Q934" cm="1">
        <f t="array" ref="Q934">SUMPRODUCT((keyword_comparison[record_identifier]=keyword_comparison[[#This Row],[record_identifier]])*(LEN(keyword_comparison[keyword_matcher_output])&gt;0))</f>
        <v>0</v>
      </c>
    </row>
    <row r="935" spans="1:17" x14ac:dyDescent="0.25">
      <c r="A935" t="s">
        <v>798</v>
      </c>
      <c r="B935" t="s">
        <v>799</v>
      </c>
      <c r="C935" t="s">
        <v>800</v>
      </c>
      <c r="D935" t="s">
        <v>20</v>
      </c>
      <c r="E935" t="s">
        <v>53</v>
      </c>
      <c r="F935" t="s">
        <v>54</v>
      </c>
      <c r="G935" t="s">
        <v>54</v>
      </c>
      <c r="H935" t="s">
        <v>54</v>
      </c>
      <c r="J935" t="s">
        <v>801</v>
      </c>
      <c r="K935" t="s">
        <v>802</v>
      </c>
      <c r="O935">
        <v>5</v>
      </c>
      <c r="P935">
        <f>COUNTIFS(keyword_comparison[record_identifier],keyword_comparison[[#This Row],[record_identifier]],keyword_comparison[Review],"&lt;&gt;")</f>
        <v>11</v>
      </c>
      <c r="Q935" cm="1">
        <f t="array" ref="Q935">SUMPRODUCT((keyword_comparison[record_identifier]=keyword_comparison[[#This Row],[record_identifier]])*(LEN(keyword_comparison[keyword_matcher_output])&gt;0))</f>
        <v>0</v>
      </c>
    </row>
    <row r="936" spans="1:17" x14ac:dyDescent="0.25">
      <c r="A936" t="s">
        <v>798</v>
      </c>
      <c r="B936" t="s">
        <v>799</v>
      </c>
      <c r="C936" t="s">
        <v>800</v>
      </c>
      <c r="D936" t="s">
        <v>20</v>
      </c>
      <c r="E936" t="s">
        <v>53</v>
      </c>
      <c r="F936" t="s">
        <v>54</v>
      </c>
      <c r="G936" t="s">
        <v>54</v>
      </c>
      <c r="H936" t="s">
        <v>54</v>
      </c>
      <c r="J936" t="s">
        <v>255</v>
      </c>
      <c r="K936" t="s">
        <v>256</v>
      </c>
      <c r="O936">
        <v>6</v>
      </c>
      <c r="P936">
        <f>COUNTIFS(keyword_comparison[record_identifier],keyword_comparison[[#This Row],[record_identifier]],keyword_comparison[Review],"&lt;&gt;")</f>
        <v>11</v>
      </c>
      <c r="Q936" cm="1">
        <f t="array" ref="Q936">SUMPRODUCT((keyword_comparison[record_identifier]=keyword_comparison[[#This Row],[record_identifier]])*(LEN(keyword_comparison[keyword_matcher_output])&gt;0))</f>
        <v>0</v>
      </c>
    </row>
    <row r="937" spans="1:17" x14ac:dyDescent="0.25">
      <c r="A937" t="s">
        <v>798</v>
      </c>
      <c r="B937" t="s">
        <v>799</v>
      </c>
      <c r="C937" t="s">
        <v>800</v>
      </c>
      <c r="D937" t="s">
        <v>20</v>
      </c>
      <c r="E937" t="s">
        <v>53</v>
      </c>
      <c r="F937" t="s">
        <v>54</v>
      </c>
      <c r="G937" t="s">
        <v>54</v>
      </c>
      <c r="H937" t="s">
        <v>54</v>
      </c>
      <c r="J937" t="s">
        <v>411</v>
      </c>
      <c r="K937" t="s">
        <v>50</v>
      </c>
      <c r="O937">
        <v>7</v>
      </c>
      <c r="P937">
        <f>COUNTIFS(keyword_comparison[record_identifier],keyword_comparison[[#This Row],[record_identifier]],keyword_comparison[Review],"&lt;&gt;")</f>
        <v>11</v>
      </c>
      <c r="Q937" cm="1">
        <f t="array" ref="Q937">SUMPRODUCT((keyword_comparison[record_identifier]=keyword_comparison[[#This Row],[record_identifier]])*(LEN(keyword_comparison[keyword_matcher_output])&gt;0))</f>
        <v>0</v>
      </c>
    </row>
    <row r="938" spans="1:17" x14ac:dyDescent="0.25">
      <c r="A938" t="s">
        <v>809</v>
      </c>
      <c r="B938" t="s">
        <v>810</v>
      </c>
      <c r="C938" t="s">
        <v>811</v>
      </c>
      <c r="D938" t="s">
        <v>20</v>
      </c>
      <c r="E938" t="s">
        <v>33</v>
      </c>
      <c r="H938" t="s">
        <v>54</v>
      </c>
      <c r="J938" t="s">
        <v>563</v>
      </c>
      <c r="K938" t="s">
        <v>564</v>
      </c>
      <c r="M938">
        <v>0.99080000000000001</v>
      </c>
      <c r="N938">
        <v>1</v>
      </c>
      <c r="P938">
        <f>COUNTIFS(keyword_comparison[record_identifier],keyword_comparison[[#This Row],[record_identifier]],keyword_comparison[Review],"&lt;&gt;")</f>
        <v>0</v>
      </c>
      <c r="Q938" cm="1">
        <f t="array" ref="Q938">SUMPRODUCT((keyword_comparison[record_identifier]=keyword_comparison[[#This Row],[record_identifier]])*(LEN(keyword_comparison[keyword_matcher_output])&gt;0))</f>
        <v>0</v>
      </c>
    </row>
    <row r="939" spans="1:17" x14ac:dyDescent="0.25">
      <c r="A939" t="s">
        <v>809</v>
      </c>
      <c r="B939" t="s">
        <v>810</v>
      </c>
      <c r="C939" t="s">
        <v>811</v>
      </c>
      <c r="D939" t="s">
        <v>20</v>
      </c>
      <c r="E939" t="s">
        <v>33</v>
      </c>
      <c r="H939" t="s">
        <v>54</v>
      </c>
      <c r="J939" t="s">
        <v>812</v>
      </c>
      <c r="K939" t="s">
        <v>566</v>
      </c>
      <c r="M939">
        <v>0.77759999999999996</v>
      </c>
      <c r="N939">
        <v>2</v>
      </c>
      <c r="P939">
        <f>COUNTIFS(keyword_comparison[record_identifier],keyword_comparison[[#This Row],[record_identifier]],keyword_comparison[Review],"&lt;&gt;")</f>
        <v>0</v>
      </c>
      <c r="Q939" cm="1">
        <f t="array" ref="Q939">SUMPRODUCT((keyword_comparison[record_identifier]=keyword_comparison[[#This Row],[record_identifier]])*(LEN(keyword_comparison[keyword_matcher_output])&gt;0))</f>
        <v>0</v>
      </c>
    </row>
    <row r="940" spans="1:17" x14ac:dyDescent="0.25">
      <c r="A940" t="s">
        <v>809</v>
      </c>
      <c r="B940" t="s">
        <v>810</v>
      </c>
      <c r="C940" t="s">
        <v>811</v>
      </c>
      <c r="D940" t="s">
        <v>20</v>
      </c>
      <c r="E940" t="s">
        <v>33</v>
      </c>
      <c r="H940" t="s">
        <v>54</v>
      </c>
      <c r="J940" t="s">
        <v>813</v>
      </c>
      <c r="K940" t="s">
        <v>814</v>
      </c>
      <c r="M940">
        <v>0.43230000000000002</v>
      </c>
      <c r="N940">
        <v>3</v>
      </c>
      <c r="P940">
        <f>COUNTIFS(keyword_comparison[record_identifier],keyword_comparison[[#This Row],[record_identifier]],keyword_comparison[Review],"&lt;&gt;")</f>
        <v>0</v>
      </c>
      <c r="Q940" cm="1">
        <f t="array" ref="Q940">SUMPRODUCT((keyword_comparison[record_identifier]=keyword_comparison[[#This Row],[record_identifier]])*(LEN(keyword_comparison[keyword_matcher_output])&gt;0))</f>
        <v>0</v>
      </c>
    </row>
    <row r="941" spans="1:17" x14ac:dyDescent="0.25">
      <c r="A941" t="s">
        <v>809</v>
      </c>
      <c r="B941" t="s">
        <v>810</v>
      </c>
      <c r="C941" t="s">
        <v>811</v>
      </c>
      <c r="D941" t="s">
        <v>20</v>
      </c>
      <c r="E941" t="s">
        <v>33</v>
      </c>
      <c r="H941" t="s">
        <v>54</v>
      </c>
      <c r="J941" t="s">
        <v>561</v>
      </c>
      <c r="K941" t="s">
        <v>562</v>
      </c>
      <c r="M941">
        <v>0.36299999999999999</v>
      </c>
      <c r="N941">
        <v>4</v>
      </c>
      <c r="P941">
        <f>COUNTIFS(keyword_comparison[record_identifier],keyword_comparison[[#This Row],[record_identifier]],keyword_comparison[Review],"&lt;&gt;")</f>
        <v>0</v>
      </c>
      <c r="Q941" cm="1">
        <f t="array" ref="Q941">SUMPRODUCT((keyword_comparison[record_identifier]=keyword_comparison[[#This Row],[record_identifier]])*(LEN(keyword_comparison[keyword_matcher_output])&gt;0))</f>
        <v>0</v>
      </c>
    </row>
    <row r="942" spans="1:17" x14ac:dyDescent="0.25">
      <c r="A942" t="s">
        <v>809</v>
      </c>
      <c r="B942" t="s">
        <v>810</v>
      </c>
      <c r="C942" t="s">
        <v>811</v>
      </c>
      <c r="D942" t="s">
        <v>20</v>
      </c>
      <c r="E942" t="s">
        <v>33</v>
      </c>
      <c r="H942" t="s">
        <v>54</v>
      </c>
      <c r="J942" t="s">
        <v>815</v>
      </c>
      <c r="K942" t="s">
        <v>816</v>
      </c>
      <c r="M942">
        <v>6.5299999999999997E-2</v>
      </c>
      <c r="N942">
        <v>5</v>
      </c>
      <c r="P942">
        <f>COUNTIFS(keyword_comparison[record_identifier],keyword_comparison[[#This Row],[record_identifier]],keyword_comparison[Review],"&lt;&gt;")</f>
        <v>0</v>
      </c>
      <c r="Q942" cm="1">
        <f t="array" ref="Q942">SUMPRODUCT((keyword_comparison[record_identifier]=keyword_comparison[[#This Row],[record_identifier]])*(LEN(keyword_comparison[keyword_matcher_output])&gt;0))</f>
        <v>0</v>
      </c>
    </row>
    <row r="943" spans="1:17" x14ac:dyDescent="0.25">
      <c r="A943" t="s">
        <v>809</v>
      </c>
      <c r="B943" t="s">
        <v>810</v>
      </c>
      <c r="C943" t="s">
        <v>811</v>
      </c>
      <c r="D943" t="s">
        <v>20</v>
      </c>
      <c r="E943" t="s">
        <v>33</v>
      </c>
      <c r="H943" t="s">
        <v>54</v>
      </c>
      <c r="J943" t="s">
        <v>228</v>
      </c>
      <c r="K943" t="s">
        <v>229</v>
      </c>
      <c r="M943">
        <v>5.3100000000000001E-2</v>
      </c>
      <c r="N943">
        <v>6</v>
      </c>
      <c r="P943">
        <f>COUNTIFS(keyword_comparison[record_identifier],keyword_comparison[[#This Row],[record_identifier]],keyword_comparison[Review],"&lt;&gt;")</f>
        <v>0</v>
      </c>
      <c r="Q943" cm="1">
        <f t="array" ref="Q943">SUMPRODUCT((keyword_comparison[record_identifier]=keyword_comparison[[#This Row],[record_identifier]])*(LEN(keyword_comparison[keyword_matcher_output])&gt;0))</f>
        <v>0</v>
      </c>
    </row>
    <row r="944" spans="1:17" x14ac:dyDescent="0.25">
      <c r="A944" t="s">
        <v>809</v>
      </c>
      <c r="B944" t="s">
        <v>810</v>
      </c>
      <c r="C944" t="s">
        <v>811</v>
      </c>
      <c r="D944" t="s">
        <v>20</v>
      </c>
      <c r="E944" t="s">
        <v>48</v>
      </c>
      <c r="H944" t="s">
        <v>54</v>
      </c>
      <c r="J944" t="s">
        <v>563</v>
      </c>
      <c r="K944" t="s">
        <v>564</v>
      </c>
      <c r="P944">
        <f>COUNTIFS(keyword_comparison[record_identifier],keyword_comparison[[#This Row],[record_identifier]],keyword_comparison[Review],"&lt;&gt;")</f>
        <v>0</v>
      </c>
      <c r="Q944" cm="1">
        <f t="array" ref="Q944">SUMPRODUCT((keyword_comparison[record_identifier]=keyword_comparison[[#This Row],[record_identifier]])*(LEN(keyword_comparison[keyword_matcher_output])&gt;0))</f>
        <v>0</v>
      </c>
    </row>
    <row r="945" spans="1:17" x14ac:dyDescent="0.25">
      <c r="A945" t="s">
        <v>809</v>
      </c>
      <c r="B945" t="s">
        <v>810</v>
      </c>
      <c r="C945" t="s">
        <v>811</v>
      </c>
      <c r="D945" t="s">
        <v>20</v>
      </c>
      <c r="E945" t="s">
        <v>48</v>
      </c>
      <c r="H945" t="s">
        <v>54</v>
      </c>
      <c r="J945" t="s">
        <v>300</v>
      </c>
      <c r="K945" t="s">
        <v>301</v>
      </c>
      <c r="L945" t="b">
        <v>1</v>
      </c>
      <c r="P945">
        <f>COUNTIFS(keyword_comparison[record_identifier],keyword_comparison[[#This Row],[record_identifier]],keyword_comparison[Review],"&lt;&gt;")</f>
        <v>0</v>
      </c>
      <c r="Q945" cm="1">
        <f t="array" ref="Q945">SUMPRODUCT((keyword_comparison[record_identifier]=keyword_comparison[[#This Row],[record_identifier]])*(LEN(keyword_comparison[keyword_matcher_output])&gt;0))</f>
        <v>0</v>
      </c>
    </row>
    <row r="946" spans="1:17" x14ac:dyDescent="0.25">
      <c r="A946" t="s">
        <v>809</v>
      </c>
      <c r="B946" t="s">
        <v>810</v>
      </c>
      <c r="C946" t="s">
        <v>811</v>
      </c>
      <c r="D946" t="s">
        <v>20</v>
      </c>
      <c r="E946" t="s">
        <v>48</v>
      </c>
      <c r="H946" t="s">
        <v>54</v>
      </c>
      <c r="J946" t="s">
        <v>34</v>
      </c>
      <c r="K946" t="s">
        <v>35</v>
      </c>
      <c r="P946">
        <f>COUNTIFS(keyword_comparison[record_identifier],keyword_comparison[[#This Row],[record_identifier]],keyword_comparison[Review],"&lt;&gt;")</f>
        <v>0</v>
      </c>
      <c r="Q946" cm="1">
        <f t="array" ref="Q946">SUMPRODUCT((keyword_comparison[record_identifier]=keyword_comparison[[#This Row],[record_identifier]])*(LEN(keyword_comparison[keyword_matcher_output])&gt;0))</f>
        <v>0</v>
      </c>
    </row>
    <row r="947" spans="1:17" x14ac:dyDescent="0.25">
      <c r="A947" t="s">
        <v>809</v>
      </c>
      <c r="B947" t="s">
        <v>810</v>
      </c>
      <c r="C947" t="s">
        <v>811</v>
      </c>
      <c r="D947" t="s">
        <v>20</v>
      </c>
      <c r="E947" t="s">
        <v>48</v>
      </c>
      <c r="H947" t="s">
        <v>54</v>
      </c>
      <c r="J947" t="s">
        <v>480</v>
      </c>
      <c r="K947" t="s">
        <v>280</v>
      </c>
      <c r="P947">
        <f>COUNTIFS(keyword_comparison[record_identifier],keyword_comparison[[#This Row],[record_identifier]],keyword_comparison[Review],"&lt;&gt;")</f>
        <v>0</v>
      </c>
      <c r="Q947" cm="1">
        <f t="array" ref="Q947">SUMPRODUCT((keyword_comparison[record_identifier]=keyword_comparison[[#This Row],[record_identifier]])*(LEN(keyword_comparison[keyword_matcher_output])&gt;0))</f>
        <v>0</v>
      </c>
    </row>
    <row r="948" spans="1:17" x14ac:dyDescent="0.25">
      <c r="A948" t="s">
        <v>809</v>
      </c>
      <c r="B948" t="s">
        <v>810</v>
      </c>
      <c r="C948" t="s">
        <v>811</v>
      </c>
      <c r="D948" t="s">
        <v>20</v>
      </c>
      <c r="E948" t="s">
        <v>48</v>
      </c>
      <c r="H948" t="s">
        <v>54</v>
      </c>
      <c r="J948" t="s">
        <v>84</v>
      </c>
      <c r="K948" t="s">
        <v>85</v>
      </c>
      <c r="P948">
        <f>COUNTIFS(keyword_comparison[record_identifier],keyword_comparison[[#This Row],[record_identifier]],keyword_comparison[Review],"&lt;&gt;")</f>
        <v>0</v>
      </c>
      <c r="Q948" cm="1">
        <f t="array" ref="Q948">SUMPRODUCT((keyword_comparison[record_identifier]=keyword_comparison[[#This Row],[record_identifier]])*(LEN(keyword_comparison[keyword_matcher_output])&gt;0))</f>
        <v>0</v>
      </c>
    </row>
    <row r="949" spans="1:17" x14ac:dyDescent="0.25">
      <c r="A949" t="s">
        <v>809</v>
      </c>
      <c r="B949" t="s">
        <v>810</v>
      </c>
      <c r="C949" t="s">
        <v>811</v>
      </c>
      <c r="D949" t="s">
        <v>20</v>
      </c>
      <c r="E949" t="s">
        <v>48</v>
      </c>
      <c r="H949" t="s">
        <v>54</v>
      </c>
      <c r="J949" t="s">
        <v>252</v>
      </c>
      <c r="K949" t="s">
        <v>183</v>
      </c>
      <c r="P949">
        <f>COUNTIFS(keyword_comparison[record_identifier],keyword_comparison[[#This Row],[record_identifier]],keyword_comparison[Review],"&lt;&gt;")</f>
        <v>0</v>
      </c>
      <c r="Q949" cm="1">
        <f t="array" ref="Q949">SUMPRODUCT((keyword_comparison[record_identifier]=keyword_comparison[[#This Row],[record_identifier]])*(LEN(keyword_comparison[keyword_matcher_output])&gt;0))</f>
        <v>0</v>
      </c>
    </row>
    <row r="950" spans="1:17" x14ac:dyDescent="0.25">
      <c r="A950" t="s">
        <v>809</v>
      </c>
      <c r="B950" t="s">
        <v>810</v>
      </c>
      <c r="C950" t="s">
        <v>811</v>
      </c>
      <c r="D950" t="s">
        <v>20</v>
      </c>
      <c r="E950" t="s">
        <v>48</v>
      </c>
      <c r="H950" t="s">
        <v>54</v>
      </c>
      <c r="J950" t="s">
        <v>817</v>
      </c>
      <c r="K950" t="s">
        <v>818</v>
      </c>
      <c r="P950">
        <f>COUNTIFS(keyword_comparison[record_identifier],keyword_comparison[[#This Row],[record_identifier]],keyword_comparison[Review],"&lt;&gt;")</f>
        <v>0</v>
      </c>
      <c r="Q950" cm="1">
        <f t="array" ref="Q950">SUMPRODUCT((keyword_comparison[record_identifier]=keyword_comparison[[#This Row],[record_identifier]])*(LEN(keyword_comparison[keyword_matcher_output])&gt;0))</f>
        <v>0</v>
      </c>
    </row>
    <row r="951" spans="1:17" x14ac:dyDescent="0.25">
      <c r="A951" t="s">
        <v>809</v>
      </c>
      <c r="B951" t="s">
        <v>810</v>
      </c>
      <c r="C951" t="s">
        <v>811</v>
      </c>
      <c r="D951" t="s">
        <v>20</v>
      </c>
      <c r="E951" t="s">
        <v>48</v>
      </c>
      <c r="H951" t="s">
        <v>54</v>
      </c>
      <c r="J951" t="s">
        <v>168</v>
      </c>
      <c r="K951" t="s">
        <v>169</v>
      </c>
      <c r="P951">
        <f>COUNTIFS(keyword_comparison[record_identifier],keyword_comparison[[#This Row],[record_identifier]],keyword_comparison[Review],"&lt;&gt;")</f>
        <v>0</v>
      </c>
      <c r="Q951" cm="1">
        <f t="array" ref="Q951">SUMPRODUCT((keyword_comparison[record_identifier]=keyword_comparison[[#This Row],[record_identifier]])*(LEN(keyword_comparison[keyword_matcher_output])&gt;0))</f>
        <v>0</v>
      </c>
    </row>
    <row r="952" spans="1:17" x14ac:dyDescent="0.25">
      <c r="A952" t="s">
        <v>809</v>
      </c>
      <c r="B952" t="s">
        <v>810</v>
      </c>
      <c r="C952" t="s">
        <v>811</v>
      </c>
      <c r="D952" t="s">
        <v>20</v>
      </c>
      <c r="E952" t="s">
        <v>53</v>
      </c>
      <c r="F952" t="s">
        <v>54</v>
      </c>
      <c r="G952" t="s">
        <v>54</v>
      </c>
      <c r="H952" t="s">
        <v>54</v>
      </c>
      <c r="J952" t="s">
        <v>563</v>
      </c>
      <c r="K952" t="s">
        <v>564</v>
      </c>
      <c r="O952">
        <v>1</v>
      </c>
      <c r="P952">
        <f>COUNTIFS(keyword_comparison[record_identifier],keyword_comparison[[#This Row],[record_identifier]],keyword_comparison[Review],"&lt;&gt;")</f>
        <v>0</v>
      </c>
      <c r="Q952" cm="1">
        <f t="array" ref="Q952">SUMPRODUCT((keyword_comparison[record_identifier]=keyword_comparison[[#This Row],[record_identifier]])*(LEN(keyword_comparison[keyword_matcher_output])&gt;0))</f>
        <v>0</v>
      </c>
    </row>
    <row r="953" spans="1:17" x14ac:dyDescent="0.25">
      <c r="A953" t="s">
        <v>809</v>
      </c>
      <c r="B953" t="s">
        <v>810</v>
      </c>
      <c r="C953" t="s">
        <v>811</v>
      </c>
      <c r="D953" t="s">
        <v>20</v>
      </c>
      <c r="E953" t="s">
        <v>53</v>
      </c>
      <c r="F953" t="s">
        <v>54</v>
      </c>
      <c r="G953" t="s">
        <v>54</v>
      </c>
      <c r="H953" t="s">
        <v>54</v>
      </c>
      <c r="J953" t="s">
        <v>300</v>
      </c>
      <c r="K953" t="s">
        <v>301</v>
      </c>
      <c r="O953">
        <v>2</v>
      </c>
      <c r="P953">
        <f>COUNTIFS(keyword_comparison[record_identifier],keyword_comparison[[#This Row],[record_identifier]],keyword_comparison[Review],"&lt;&gt;")</f>
        <v>0</v>
      </c>
      <c r="Q953" cm="1">
        <f t="array" ref="Q953">SUMPRODUCT((keyword_comparison[record_identifier]=keyword_comparison[[#This Row],[record_identifier]])*(LEN(keyword_comparison[keyword_matcher_output])&gt;0))</f>
        <v>0</v>
      </c>
    </row>
    <row r="954" spans="1:17" x14ac:dyDescent="0.25">
      <c r="A954" t="s">
        <v>809</v>
      </c>
      <c r="B954" t="s">
        <v>810</v>
      </c>
      <c r="C954" t="s">
        <v>811</v>
      </c>
      <c r="D954" t="s">
        <v>20</v>
      </c>
      <c r="E954" t="s">
        <v>53</v>
      </c>
      <c r="F954" t="s">
        <v>54</v>
      </c>
      <c r="G954" t="s">
        <v>54</v>
      </c>
      <c r="H954" t="s">
        <v>54</v>
      </c>
      <c r="J954" t="s">
        <v>819</v>
      </c>
      <c r="K954" t="s">
        <v>820</v>
      </c>
      <c r="O954">
        <v>3</v>
      </c>
      <c r="P954">
        <f>COUNTIFS(keyword_comparison[record_identifier],keyword_comparison[[#This Row],[record_identifier]],keyword_comparison[Review],"&lt;&gt;")</f>
        <v>0</v>
      </c>
      <c r="Q954" cm="1">
        <f t="array" ref="Q954">SUMPRODUCT((keyword_comparison[record_identifier]=keyword_comparison[[#This Row],[record_identifier]])*(LEN(keyword_comparison[keyword_matcher_output])&gt;0))</f>
        <v>0</v>
      </c>
    </row>
    <row r="955" spans="1:17" x14ac:dyDescent="0.25">
      <c r="A955" t="s">
        <v>809</v>
      </c>
      <c r="B955" t="s">
        <v>810</v>
      </c>
      <c r="C955" t="s">
        <v>811</v>
      </c>
      <c r="D955" t="s">
        <v>20</v>
      </c>
      <c r="E955" t="s">
        <v>53</v>
      </c>
      <c r="F955" t="s">
        <v>54</v>
      </c>
      <c r="G955" t="s">
        <v>54</v>
      </c>
      <c r="H955" t="s">
        <v>54</v>
      </c>
      <c r="J955" t="s">
        <v>565</v>
      </c>
      <c r="K955" t="s">
        <v>566</v>
      </c>
      <c r="O955">
        <v>4</v>
      </c>
      <c r="P955">
        <f>COUNTIFS(keyword_comparison[record_identifier],keyword_comparison[[#This Row],[record_identifier]],keyword_comparison[Review],"&lt;&gt;")</f>
        <v>0</v>
      </c>
      <c r="Q955" cm="1">
        <f t="array" ref="Q955">SUMPRODUCT((keyword_comparison[record_identifier]=keyword_comparison[[#This Row],[record_identifier]])*(LEN(keyword_comparison[keyword_matcher_output])&gt;0))</f>
        <v>0</v>
      </c>
    </row>
    <row r="956" spans="1:17" x14ac:dyDescent="0.25">
      <c r="A956" t="s">
        <v>809</v>
      </c>
      <c r="B956" t="s">
        <v>810</v>
      </c>
      <c r="C956" t="s">
        <v>811</v>
      </c>
      <c r="D956" t="s">
        <v>20</v>
      </c>
      <c r="E956" t="s">
        <v>53</v>
      </c>
      <c r="F956" t="s">
        <v>54</v>
      </c>
      <c r="G956" t="s">
        <v>54</v>
      </c>
      <c r="H956" t="s">
        <v>54</v>
      </c>
      <c r="J956" t="s">
        <v>204</v>
      </c>
      <c r="K956" t="s">
        <v>205</v>
      </c>
      <c r="O956">
        <v>5</v>
      </c>
      <c r="P956">
        <f>COUNTIFS(keyword_comparison[record_identifier],keyword_comparison[[#This Row],[record_identifier]],keyword_comparison[Review],"&lt;&gt;")</f>
        <v>0</v>
      </c>
      <c r="Q956" cm="1">
        <f t="array" ref="Q956">SUMPRODUCT((keyword_comparison[record_identifier]=keyword_comparison[[#This Row],[record_identifier]])*(LEN(keyword_comparison[keyword_matcher_output])&gt;0))</f>
        <v>0</v>
      </c>
    </row>
    <row r="957" spans="1:17" x14ac:dyDescent="0.25">
      <c r="A957" t="s">
        <v>809</v>
      </c>
      <c r="B957" t="s">
        <v>810</v>
      </c>
      <c r="C957" t="s">
        <v>811</v>
      </c>
      <c r="D957" t="s">
        <v>20</v>
      </c>
      <c r="E957" t="s">
        <v>53</v>
      </c>
      <c r="F957" t="s">
        <v>54</v>
      </c>
      <c r="G957" t="s">
        <v>54</v>
      </c>
      <c r="H957" t="s">
        <v>54</v>
      </c>
      <c r="J957" t="s">
        <v>252</v>
      </c>
      <c r="K957" t="s">
        <v>183</v>
      </c>
      <c r="O957">
        <v>6</v>
      </c>
      <c r="P957">
        <f>COUNTIFS(keyword_comparison[record_identifier],keyword_comparison[[#This Row],[record_identifier]],keyword_comparison[Review],"&lt;&gt;")</f>
        <v>0</v>
      </c>
      <c r="Q957" cm="1">
        <f t="array" ref="Q957">SUMPRODUCT((keyword_comparison[record_identifier]=keyword_comparison[[#This Row],[record_identifier]])*(LEN(keyword_comparison[keyword_matcher_output])&gt;0))</f>
        <v>0</v>
      </c>
    </row>
    <row r="958" spans="1:17" x14ac:dyDescent="0.25">
      <c r="A958" t="s">
        <v>809</v>
      </c>
      <c r="B958" t="s">
        <v>810</v>
      </c>
      <c r="C958" t="s">
        <v>811</v>
      </c>
      <c r="D958" t="s">
        <v>20</v>
      </c>
      <c r="E958" t="s">
        <v>53</v>
      </c>
      <c r="F958" t="s">
        <v>54</v>
      </c>
      <c r="G958" t="s">
        <v>54</v>
      </c>
      <c r="H958" t="s">
        <v>54</v>
      </c>
      <c r="J958" t="s">
        <v>217</v>
      </c>
      <c r="K958" t="s">
        <v>218</v>
      </c>
      <c r="O958">
        <v>7</v>
      </c>
      <c r="P958">
        <f>COUNTIFS(keyword_comparison[record_identifier],keyword_comparison[[#This Row],[record_identifier]],keyword_comparison[Review],"&lt;&gt;")</f>
        <v>0</v>
      </c>
      <c r="Q958" cm="1">
        <f t="array" ref="Q958">SUMPRODUCT((keyword_comparison[record_identifier]=keyword_comparison[[#This Row],[record_identifier]])*(LEN(keyword_comparison[keyword_matcher_output])&gt;0))</f>
        <v>0</v>
      </c>
    </row>
    <row r="959" spans="1:17" x14ac:dyDescent="0.25">
      <c r="A959" t="s">
        <v>809</v>
      </c>
      <c r="B959" t="s">
        <v>810</v>
      </c>
      <c r="C959" t="s">
        <v>811</v>
      </c>
      <c r="D959" t="s">
        <v>20</v>
      </c>
      <c r="E959" t="s">
        <v>53</v>
      </c>
      <c r="F959" t="s">
        <v>54</v>
      </c>
      <c r="G959" t="s">
        <v>54</v>
      </c>
      <c r="H959" t="s">
        <v>54</v>
      </c>
      <c r="J959" t="s">
        <v>34</v>
      </c>
      <c r="K959" t="s">
        <v>35</v>
      </c>
      <c r="O959">
        <v>8</v>
      </c>
      <c r="P959">
        <f>COUNTIFS(keyword_comparison[record_identifier],keyword_comparison[[#This Row],[record_identifier]],keyword_comparison[Review],"&lt;&gt;")</f>
        <v>0</v>
      </c>
      <c r="Q959" cm="1">
        <f t="array" ref="Q959">SUMPRODUCT((keyword_comparison[record_identifier]=keyword_comparison[[#This Row],[record_identifier]])*(LEN(keyword_comparison[keyword_matcher_output])&gt;0))</f>
        <v>0</v>
      </c>
    </row>
    <row r="960" spans="1:17" x14ac:dyDescent="0.25">
      <c r="A960" t="s">
        <v>809</v>
      </c>
      <c r="B960" t="s">
        <v>810</v>
      </c>
      <c r="C960" t="s">
        <v>811</v>
      </c>
      <c r="D960" t="s">
        <v>20</v>
      </c>
      <c r="E960" t="s">
        <v>53</v>
      </c>
      <c r="F960" t="s">
        <v>54</v>
      </c>
      <c r="G960" t="s">
        <v>54</v>
      </c>
      <c r="H960" t="s">
        <v>54</v>
      </c>
      <c r="J960" t="s">
        <v>98</v>
      </c>
      <c r="K960" t="s">
        <v>93</v>
      </c>
      <c r="O960">
        <v>9</v>
      </c>
      <c r="P960">
        <f>COUNTIFS(keyword_comparison[record_identifier],keyword_comparison[[#This Row],[record_identifier]],keyword_comparison[Review],"&lt;&gt;")</f>
        <v>0</v>
      </c>
      <c r="Q960" cm="1">
        <f t="array" ref="Q960">SUMPRODUCT((keyword_comparison[record_identifier]=keyword_comparison[[#This Row],[record_identifier]])*(LEN(keyword_comparison[keyword_matcher_output])&gt;0))</f>
        <v>0</v>
      </c>
    </row>
    <row r="961" spans="1:17" x14ac:dyDescent="0.25">
      <c r="A961" t="s">
        <v>809</v>
      </c>
      <c r="B961" t="s">
        <v>810</v>
      </c>
      <c r="C961" t="s">
        <v>811</v>
      </c>
      <c r="D961" t="s">
        <v>20</v>
      </c>
      <c r="E961" t="s">
        <v>53</v>
      </c>
      <c r="F961" t="s">
        <v>54</v>
      </c>
      <c r="G961" t="s">
        <v>54</v>
      </c>
      <c r="H961" t="s">
        <v>54</v>
      </c>
      <c r="J961" t="s">
        <v>98</v>
      </c>
      <c r="K961" t="s">
        <v>92</v>
      </c>
      <c r="O961">
        <v>9</v>
      </c>
      <c r="P961">
        <f>COUNTIFS(keyword_comparison[record_identifier],keyword_comparison[[#This Row],[record_identifier]],keyword_comparison[Review],"&lt;&gt;")</f>
        <v>0</v>
      </c>
      <c r="Q961" cm="1">
        <f t="array" ref="Q961">SUMPRODUCT((keyword_comparison[record_identifier]=keyword_comparison[[#This Row],[record_identifier]])*(LEN(keyword_comparison[keyword_matcher_output])&gt;0))</f>
        <v>0</v>
      </c>
    </row>
    <row r="962" spans="1:17" x14ac:dyDescent="0.25">
      <c r="A962" t="s">
        <v>821</v>
      </c>
      <c r="B962" t="s">
        <v>822</v>
      </c>
      <c r="C962" t="s">
        <v>823</v>
      </c>
      <c r="D962" t="s">
        <v>20</v>
      </c>
      <c r="E962" t="s">
        <v>33</v>
      </c>
      <c r="H962" t="s">
        <v>54</v>
      </c>
      <c r="I962" t="s">
        <v>80</v>
      </c>
      <c r="J962" t="s">
        <v>180</v>
      </c>
      <c r="K962" t="s">
        <v>181</v>
      </c>
      <c r="M962">
        <v>0.93989999999999996</v>
      </c>
      <c r="N962">
        <v>1</v>
      </c>
      <c r="P962">
        <f>COUNTIFS(keyword_comparison[record_identifier],keyword_comparison[[#This Row],[record_identifier]],keyword_comparison[Review],"&lt;&gt;")</f>
        <v>32</v>
      </c>
      <c r="Q962" cm="1">
        <f t="array" ref="Q962">SUMPRODUCT((keyword_comparison[record_identifier]=keyword_comparison[[#This Row],[record_identifier]])*(LEN(keyword_comparison[keyword_matcher_output])&gt;0))</f>
        <v>0</v>
      </c>
    </row>
    <row r="963" spans="1:17" x14ac:dyDescent="0.25">
      <c r="A963" t="s">
        <v>821</v>
      </c>
      <c r="B963" t="s">
        <v>822</v>
      </c>
      <c r="C963" t="s">
        <v>823</v>
      </c>
      <c r="D963" t="s">
        <v>20</v>
      </c>
      <c r="E963" t="s">
        <v>33</v>
      </c>
      <c r="H963" t="s">
        <v>54</v>
      </c>
      <c r="I963" t="s">
        <v>80</v>
      </c>
      <c r="J963" t="s">
        <v>781</v>
      </c>
      <c r="K963" t="s">
        <v>782</v>
      </c>
      <c r="M963">
        <v>0.93279999999999996</v>
      </c>
      <c r="N963">
        <v>2</v>
      </c>
      <c r="P963">
        <f>COUNTIFS(keyword_comparison[record_identifier],keyword_comparison[[#This Row],[record_identifier]],keyword_comparison[Review],"&lt;&gt;")</f>
        <v>32</v>
      </c>
      <c r="Q963" cm="1">
        <f t="array" ref="Q963">SUMPRODUCT((keyword_comparison[record_identifier]=keyword_comparison[[#This Row],[record_identifier]])*(LEN(keyword_comparison[keyword_matcher_output])&gt;0))</f>
        <v>0</v>
      </c>
    </row>
    <row r="964" spans="1:17" x14ac:dyDescent="0.25">
      <c r="A964" t="s">
        <v>821</v>
      </c>
      <c r="B964" t="s">
        <v>822</v>
      </c>
      <c r="C964" t="s">
        <v>823</v>
      </c>
      <c r="D964" t="s">
        <v>20</v>
      </c>
      <c r="E964" t="s">
        <v>33</v>
      </c>
      <c r="H964" t="s">
        <v>54</v>
      </c>
      <c r="I964" t="s">
        <v>80</v>
      </c>
      <c r="J964" t="s">
        <v>819</v>
      </c>
      <c r="K964" t="s">
        <v>820</v>
      </c>
      <c r="M964">
        <v>0.63600000000000001</v>
      </c>
      <c r="N964">
        <v>3</v>
      </c>
      <c r="P964">
        <f>COUNTIFS(keyword_comparison[record_identifier],keyword_comparison[[#This Row],[record_identifier]],keyword_comparison[Review],"&lt;&gt;")</f>
        <v>32</v>
      </c>
      <c r="Q964" cm="1">
        <f t="array" ref="Q964">SUMPRODUCT((keyword_comparison[record_identifier]=keyword_comparison[[#This Row],[record_identifier]])*(LEN(keyword_comparison[keyword_matcher_output])&gt;0))</f>
        <v>0</v>
      </c>
    </row>
    <row r="965" spans="1:17" x14ac:dyDescent="0.25">
      <c r="A965" t="s">
        <v>821</v>
      </c>
      <c r="B965" t="s">
        <v>822</v>
      </c>
      <c r="C965" t="s">
        <v>823</v>
      </c>
      <c r="D965" t="s">
        <v>20</v>
      </c>
      <c r="E965" t="s">
        <v>33</v>
      </c>
      <c r="H965" t="s">
        <v>54</v>
      </c>
      <c r="I965" t="s">
        <v>80</v>
      </c>
      <c r="J965" t="s">
        <v>318</v>
      </c>
      <c r="K965" t="s">
        <v>319</v>
      </c>
      <c r="M965">
        <v>0.50580000000000003</v>
      </c>
      <c r="N965">
        <v>4</v>
      </c>
      <c r="P965">
        <f>COUNTIFS(keyword_comparison[record_identifier],keyword_comparison[[#This Row],[record_identifier]],keyword_comparison[Review],"&lt;&gt;")</f>
        <v>32</v>
      </c>
      <c r="Q965" cm="1">
        <f t="array" ref="Q965">SUMPRODUCT((keyword_comparison[record_identifier]=keyword_comparison[[#This Row],[record_identifier]])*(LEN(keyword_comparison[keyword_matcher_output])&gt;0))</f>
        <v>0</v>
      </c>
    </row>
    <row r="966" spans="1:17" x14ac:dyDescent="0.25">
      <c r="A966" t="s">
        <v>821</v>
      </c>
      <c r="B966" t="s">
        <v>822</v>
      </c>
      <c r="C966" t="s">
        <v>823</v>
      </c>
      <c r="D966" t="s">
        <v>20</v>
      </c>
      <c r="E966" t="s">
        <v>33</v>
      </c>
      <c r="H966" t="s">
        <v>54</v>
      </c>
      <c r="I966" t="s">
        <v>88</v>
      </c>
      <c r="J966" t="s">
        <v>824</v>
      </c>
      <c r="K966" t="s">
        <v>825</v>
      </c>
      <c r="M966">
        <v>0.48580000000000001</v>
      </c>
      <c r="N966">
        <v>5</v>
      </c>
      <c r="P966">
        <f>COUNTIFS(keyword_comparison[record_identifier],keyword_comparison[[#This Row],[record_identifier]],keyword_comparison[Review],"&lt;&gt;")</f>
        <v>32</v>
      </c>
      <c r="Q966" cm="1">
        <f t="array" ref="Q966">SUMPRODUCT((keyword_comparison[record_identifier]=keyword_comparison[[#This Row],[record_identifier]])*(LEN(keyword_comparison[keyword_matcher_output])&gt;0))</f>
        <v>0</v>
      </c>
    </row>
    <row r="967" spans="1:17" x14ac:dyDescent="0.25">
      <c r="A967" t="s">
        <v>821</v>
      </c>
      <c r="B967" t="s">
        <v>822</v>
      </c>
      <c r="C967" t="s">
        <v>823</v>
      </c>
      <c r="D967" t="s">
        <v>20</v>
      </c>
      <c r="E967" t="s">
        <v>33</v>
      </c>
      <c r="H967" t="s">
        <v>54</v>
      </c>
      <c r="I967" t="s">
        <v>88</v>
      </c>
      <c r="J967" t="s">
        <v>826</v>
      </c>
      <c r="K967" t="s">
        <v>827</v>
      </c>
      <c r="M967">
        <v>0.42020000000000002</v>
      </c>
      <c r="N967">
        <v>6</v>
      </c>
      <c r="P967">
        <f>COUNTIFS(keyword_comparison[record_identifier],keyword_comparison[[#This Row],[record_identifier]],keyword_comparison[Review],"&lt;&gt;")</f>
        <v>32</v>
      </c>
      <c r="Q967" cm="1">
        <f t="array" ref="Q967">SUMPRODUCT((keyword_comparison[record_identifier]=keyword_comparison[[#This Row],[record_identifier]])*(LEN(keyword_comparison[keyword_matcher_output])&gt;0))</f>
        <v>0</v>
      </c>
    </row>
    <row r="968" spans="1:17" x14ac:dyDescent="0.25">
      <c r="A968" t="s">
        <v>821</v>
      </c>
      <c r="B968" t="s">
        <v>822</v>
      </c>
      <c r="C968" t="s">
        <v>823</v>
      </c>
      <c r="D968" t="s">
        <v>20</v>
      </c>
      <c r="E968" t="s">
        <v>33</v>
      </c>
      <c r="H968" t="s">
        <v>54</v>
      </c>
      <c r="I968" t="s">
        <v>88</v>
      </c>
      <c r="J968" t="s">
        <v>828</v>
      </c>
      <c r="K968" t="s">
        <v>829</v>
      </c>
      <c r="M968">
        <v>0.30859999999999999</v>
      </c>
      <c r="N968">
        <v>7</v>
      </c>
      <c r="P968">
        <f>COUNTIFS(keyword_comparison[record_identifier],keyword_comparison[[#This Row],[record_identifier]],keyword_comparison[Review],"&lt;&gt;")</f>
        <v>32</v>
      </c>
      <c r="Q968" cm="1">
        <f t="array" ref="Q968">SUMPRODUCT((keyword_comparison[record_identifier]=keyword_comparison[[#This Row],[record_identifier]])*(LEN(keyword_comparison[keyword_matcher_output])&gt;0))</f>
        <v>0</v>
      </c>
    </row>
    <row r="969" spans="1:17" x14ac:dyDescent="0.25">
      <c r="A969" t="s">
        <v>821</v>
      </c>
      <c r="B969" t="s">
        <v>822</v>
      </c>
      <c r="C969" t="s">
        <v>823</v>
      </c>
      <c r="D969" t="s">
        <v>20</v>
      </c>
      <c r="E969" t="s">
        <v>33</v>
      </c>
      <c r="H969" t="s">
        <v>54</v>
      </c>
      <c r="I969" t="s">
        <v>80</v>
      </c>
      <c r="J969" t="s">
        <v>277</v>
      </c>
      <c r="K969" t="s">
        <v>278</v>
      </c>
      <c r="M969">
        <v>0.28870000000000001</v>
      </c>
      <c r="N969">
        <v>8</v>
      </c>
      <c r="P969">
        <f>COUNTIFS(keyword_comparison[record_identifier],keyword_comparison[[#This Row],[record_identifier]],keyword_comparison[Review],"&lt;&gt;")</f>
        <v>32</v>
      </c>
      <c r="Q969" cm="1">
        <f t="array" ref="Q969">SUMPRODUCT((keyword_comparison[record_identifier]=keyword_comparison[[#This Row],[record_identifier]])*(LEN(keyword_comparison[keyword_matcher_output])&gt;0))</f>
        <v>0</v>
      </c>
    </row>
    <row r="970" spans="1:17" x14ac:dyDescent="0.25">
      <c r="A970" t="s">
        <v>821</v>
      </c>
      <c r="B970" t="s">
        <v>822</v>
      </c>
      <c r="C970" t="s">
        <v>823</v>
      </c>
      <c r="D970" t="s">
        <v>20</v>
      </c>
      <c r="E970" t="s">
        <v>33</v>
      </c>
      <c r="H970" t="s">
        <v>54</v>
      </c>
      <c r="I970" t="s">
        <v>88</v>
      </c>
      <c r="J970" t="s">
        <v>830</v>
      </c>
      <c r="K970" t="s">
        <v>831</v>
      </c>
      <c r="M970">
        <v>0.22239999999999999</v>
      </c>
      <c r="N970">
        <v>9</v>
      </c>
      <c r="P970">
        <f>COUNTIFS(keyword_comparison[record_identifier],keyword_comparison[[#This Row],[record_identifier]],keyword_comparison[Review],"&lt;&gt;")</f>
        <v>32</v>
      </c>
      <c r="Q970" cm="1">
        <f t="array" ref="Q970">SUMPRODUCT((keyword_comparison[record_identifier]=keyword_comparison[[#This Row],[record_identifier]])*(LEN(keyword_comparison[keyword_matcher_output])&gt;0))</f>
        <v>0</v>
      </c>
    </row>
    <row r="971" spans="1:17" x14ac:dyDescent="0.25">
      <c r="A971" t="s">
        <v>821</v>
      </c>
      <c r="B971" t="s">
        <v>822</v>
      </c>
      <c r="C971" t="s">
        <v>823</v>
      </c>
      <c r="D971" t="s">
        <v>20</v>
      </c>
      <c r="E971" t="s">
        <v>33</v>
      </c>
      <c r="H971" t="s">
        <v>54</v>
      </c>
      <c r="I971" t="s">
        <v>88</v>
      </c>
      <c r="J971" t="s">
        <v>217</v>
      </c>
      <c r="K971" t="s">
        <v>218</v>
      </c>
      <c r="M971">
        <v>0.2127</v>
      </c>
      <c r="N971">
        <v>10</v>
      </c>
      <c r="P971">
        <f>COUNTIFS(keyword_comparison[record_identifier],keyword_comparison[[#This Row],[record_identifier]],keyword_comparison[Review],"&lt;&gt;")</f>
        <v>32</v>
      </c>
      <c r="Q971" cm="1">
        <f t="array" ref="Q971">SUMPRODUCT((keyword_comparison[record_identifier]=keyword_comparison[[#This Row],[record_identifier]])*(LEN(keyword_comparison[keyword_matcher_output])&gt;0))</f>
        <v>0</v>
      </c>
    </row>
    <row r="972" spans="1:17" x14ac:dyDescent="0.25">
      <c r="A972" t="s">
        <v>821</v>
      </c>
      <c r="B972" t="s">
        <v>822</v>
      </c>
      <c r="C972" t="s">
        <v>823</v>
      </c>
      <c r="D972" t="s">
        <v>20</v>
      </c>
      <c r="E972" t="s">
        <v>33</v>
      </c>
      <c r="H972" t="s">
        <v>54</v>
      </c>
      <c r="I972" t="s">
        <v>88</v>
      </c>
      <c r="J972" t="s">
        <v>832</v>
      </c>
      <c r="K972" t="s">
        <v>833</v>
      </c>
      <c r="L972" t="b">
        <v>1</v>
      </c>
      <c r="M972">
        <v>0.21010000000000001</v>
      </c>
      <c r="N972">
        <v>11</v>
      </c>
      <c r="P972">
        <f>COUNTIFS(keyword_comparison[record_identifier],keyword_comparison[[#This Row],[record_identifier]],keyword_comparison[Review],"&lt;&gt;")</f>
        <v>32</v>
      </c>
      <c r="Q972" cm="1">
        <f t="array" ref="Q972">SUMPRODUCT((keyword_comparison[record_identifier]=keyword_comparison[[#This Row],[record_identifier]])*(LEN(keyword_comparison[keyword_matcher_output])&gt;0))</f>
        <v>0</v>
      </c>
    </row>
    <row r="973" spans="1:17" x14ac:dyDescent="0.25">
      <c r="A973" t="s">
        <v>821</v>
      </c>
      <c r="B973" t="s">
        <v>822</v>
      </c>
      <c r="C973" t="s">
        <v>823</v>
      </c>
      <c r="D973" t="s">
        <v>20</v>
      </c>
      <c r="E973" t="s">
        <v>33</v>
      </c>
      <c r="H973" t="s">
        <v>54</v>
      </c>
      <c r="I973" t="s">
        <v>80</v>
      </c>
      <c r="J973" t="s">
        <v>795</v>
      </c>
      <c r="K973" t="s">
        <v>342</v>
      </c>
      <c r="M973">
        <v>0.13550000000000001</v>
      </c>
      <c r="N973">
        <v>12</v>
      </c>
      <c r="P973">
        <f>COUNTIFS(keyword_comparison[record_identifier],keyword_comparison[[#This Row],[record_identifier]],keyword_comparison[Review],"&lt;&gt;")</f>
        <v>32</v>
      </c>
      <c r="Q973" cm="1">
        <f t="array" ref="Q973">SUMPRODUCT((keyword_comparison[record_identifier]=keyword_comparison[[#This Row],[record_identifier]])*(LEN(keyword_comparison[keyword_matcher_output])&gt;0))</f>
        <v>0</v>
      </c>
    </row>
    <row r="974" spans="1:17" x14ac:dyDescent="0.25">
      <c r="A974" t="s">
        <v>821</v>
      </c>
      <c r="B974" t="s">
        <v>822</v>
      </c>
      <c r="C974" t="s">
        <v>823</v>
      </c>
      <c r="D974" t="s">
        <v>20</v>
      </c>
      <c r="E974" t="s">
        <v>33</v>
      </c>
      <c r="H974" t="s">
        <v>54</v>
      </c>
      <c r="I974" t="s">
        <v>88</v>
      </c>
      <c r="J974" t="s">
        <v>834</v>
      </c>
      <c r="K974" t="s">
        <v>835</v>
      </c>
      <c r="M974">
        <v>0.1147</v>
      </c>
      <c r="N974">
        <v>13</v>
      </c>
      <c r="P974">
        <f>COUNTIFS(keyword_comparison[record_identifier],keyword_comparison[[#This Row],[record_identifier]],keyword_comparison[Review],"&lt;&gt;")</f>
        <v>32</v>
      </c>
      <c r="Q974" cm="1">
        <f t="array" ref="Q974">SUMPRODUCT((keyword_comparison[record_identifier]=keyword_comparison[[#This Row],[record_identifier]])*(LEN(keyword_comparison[keyword_matcher_output])&gt;0))</f>
        <v>0</v>
      </c>
    </row>
    <row r="975" spans="1:17" x14ac:dyDescent="0.25">
      <c r="A975" t="s">
        <v>821</v>
      </c>
      <c r="B975" t="s">
        <v>822</v>
      </c>
      <c r="C975" t="s">
        <v>823</v>
      </c>
      <c r="D975" t="s">
        <v>20</v>
      </c>
      <c r="E975" t="s">
        <v>33</v>
      </c>
      <c r="H975" t="s">
        <v>54</v>
      </c>
      <c r="I975" t="s">
        <v>80</v>
      </c>
      <c r="J975" t="s">
        <v>766</v>
      </c>
      <c r="K975" t="s">
        <v>183</v>
      </c>
      <c r="M975">
        <v>0.1033</v>
      </c>
      <c r="N975">
        <v>14</v>
      </c>
      <c r="P975">
        <f>COUNTIFS(keyword_comparison[record_identifier],keyword_comparison[[#This Row],[record_identifier]],keyword_comparison[Review],"&lt;&gt;")</f>
        <v>32</v>
      </c>
      <c r="Q975" cm="1">
        <f t="array" ref="Q975">SUMPRODUCT((keyword_comparison[record_identifier]=keyword_comparison[[#This Row],[record_identifier]])*(LEN(keyword_comparison[keyword_matcher_output])&gt;0))</f>
        <v>0</v>
      </c>
    </row>
    <row r="976" spans="1:17" x14ac:dyDescent="0.25">
      <c r="A976" t="s">
        <v>821</v>
      </c>
      <c r="B976" t="s">
        <v>822</v>
      </c>
      <c r="C976" t="s">
        <v>823</v>
      </c>
      <c r="D976" t="s">
        <v>20</v>
      </c>
      <c r="E976" t="s">
        <v>33</v>
      </c>
      <c r="H976" t="s">
        <v>54</v>
      </c>
      <c r="I976" t="s">
        <v>88</v>
      </c>
      <c r="J976" t="s">
        <v>271</v>
      </c>
      <c r="K976" t="s">
        <v>272</v>
      </c>
      <c r="M976">
        <v>8.2199999999999995E-2</v>
      </c>
      <c r="N976">
        <v>15</v>
      </c>
      <c r="P976">
        <f>COUNTIFS(keyword_comparison[record_identifier],keyword_comparison[[#This Row],[record_identifier]],keyword_comparison[Review],"&lt;&gt;")</f>
        <v>32</v>
      </c>
      <c r="Q976" cm="1">
        <f t="array" ref="Q976">SUMPRODUCT((keyword_comparison[record_identifier]=keyword_comparison[[#This Row],[record_identifier]])*(LEN(keyword_comparison[keyword_matcher_output])&gt;0))</f>
        <v>0</v>
      </c>
    </row>
    <row r="977" spans="1:17" x14ac:dyDescent="0.25">
      <c r="A977" t="s">
        <v>821</v>
      </c>
      <c r="B977" t="s">
        <v>822</v>
      </c>
      <c r="C977" t="s">
        <v>823</v>
      </c>
      <c r="D977" t="s">
        <v>20</v>
      </c>
      <c r="E977" t="s">
        <v>33</v>
      </c>
      <c r="H977" t="s">
        <v>54</v>
      </c>
      <c r="I977" t="s">
        <v>88</v>
      </c>
      <c r="J977" t="s">
        <v>836</v>
      </c>
      <c r="K977" t="s">
        <v>635</v>
      </c>
      <c r="M977">
        <v>7.9699999999999993E-2</v>
      </c>
      <c r="N977">
        <v>16</v>
      </c>
      <c r="P977">
        <f>COUNTIFS(keyword_comparison[record_identifier],keyword_comparison[[#This Row],[record_identifier]],keyword_comparison[Review],"&lt;&gt;")</f>
        <v>32</v>
      </c>
      <c r="Q977" cm="1">
        <f t="array" ref="Q977">SUMPRODUCT((keyword_comparison[record_identifier]=keyword_comparison[[#This Row],[record_identifier]])*(LEN(keyword_comparison[keyword_matcher_output])&gt;0))</f>
        <v>0</v>
      </c>
    </row>
    <row r="978" spans="1:17" x14ac:dyDescent="0.25">
      <c r="A978" t="s">
        <v>821</v>
      </c>
      <c r="B978" t="s">
        <v>822</v>
      </c>
      <c r="C978" t="s">
        <v>823</v>
      </c>
      <c r="D978" t="s">
        <v>20</v>
      </c>
      <c r="E978" t="s">
        <v>33</v>
      </c>
      <c r="H978" t="s">
        <v>54</v>
      </c>
      <c r="I978" t="s">
        <v>88</v>
      </c>
      <c r="J978" t="s">
        <v>837</v>
      </c>
      <c r="K978" t="s">
        <v>838</v>
      </c>
      <c r="M978">
        <v>7.3899999999999993E-2</v>
      </c>
      <c r="N978">
        <v>17</v>
      </c>
      <c r="P978">
        <f>COUNTIFS(keyword_comparison[record_identifier],keyword_comparison[[#This Row],[record_identifier]],keyword_comparison[Review],"&lt;&gt;")</f>
        <v>32</v>
      </c>
      <c r="Q978" cm="1">
        <f t="array" ref="Q978">SUMPRODUCT((keyword_comparison[record_identifier]=keyword_comparison[[#This Row],[record_identifier]])*(LEN(keyword_comparison[keyword_matcher_output])&gt;0))</f>
        <v>0</v>
      </c>
    </row>
    <row r="979" spans="1:17" x14ac:dyDescent="0.25">
      <c r="A979" t="s">
        <v>821</v>
      </c>
      <c r="B979" t="s">
        <v>822</v>
      </c>
      <c r="C979" t="s">
        <v>823</v>
      </c>
      <c r="D979" t="s">
        <v>20</v>
      </c>
      <c r="E979" t="s">
        <v>33</v>
      </c>
      <c r="H979" t="s">
        <v>54</v>
      </c>
      <c r="I979" t="s">
        <v>88</v>
      </c>
      <c r="J979" t="s">
        <v>839</v>
      </c>
      <c r="K979" t="s">
        <v>840</v>
      </c>
      <c r="M979">
        <v>7.0000000000000007E-2</v>
      </c>
      <c r="N979">
        <v>18</v>
      </c>
      <c r="P979">
        <f>COUNTIFS(keyword_comparison[record_identifier],keyword_comparison[[#This Row],[record_identifier]],keyword_comparison[Review],"&lt;&gt;")</f>
        <v>32</v>
      </c>
      <c r="Q979" cm="1">
        <f t="array" ref="Q979">SUMPRODUCT((keyword_comparison[record_identifier]=keyword_comparison[[#This Row],[record_identifier]])*(LEN(keyword_comparison[keyword_matcher_output])&gt;0))</f>
        <v>0</v>
      </c>
    </row>
    <row r="980" spans="1:17" x14ac:dyDescent="0.25">
      <c r="A980" t="s">
        <v>821</v>
      </c>
      <c r="B980" t="s">
        <v>822</v>
      </c>
      <c r="C980" t="s">
        <v>823</v>
      </c>
      <c r="D980" t="s">
        <v>20</v>
      </c>
      <c r="E980" t="s">
        <v>33</v>
      </c>
      <c r="H980" t="s">
        <v>54</v>
      </c>
      <c r="I980" t="s">
        <v>88</v>
      </c>
      <c r="J980" t="s">
        <v>841</v>
      </c>
      <c r="K980" t="s">
        <v>145</v>
      </c>
      <c r="M980">
        <v>6.3899999999999998E-2</v>
      </c>
      <c r="N980">
        <v>19</v>
      </c>
      <c r="P980">
        <f>COUNTIFS(keyword_comparison[record_identifier],keyword_comparison[[#This Row],[record_identifier]],keyword_comparison[Review],"&lt;&gt;")</f>
        <v>32</v>
      </c>
      <c r="Q980" cm="1">
        <f t="array" ref="Q980">SUMPRODUCT((keyword_comparison[record_identifier]=keyword_comparison[[#This Row],[record_identifier]])*(LEN(keyword_comparison[keyword_matcher_output])&gt;0))</f>
        <v>0</v>
      </c>
    </row>
    <row r="981" spans="1:17" x14ac:dyDescent="0.25">
      <c r="A981" t="s">
        <v>821</v>
      </c>
      <c r="B981" t="s">
        <v>822</v>
      </c>
      <c r="C981" t="s">
        <v>823</v>
      </c>
      <c r="D981" t="s">
        <v>20</v>
      </c>
      <c r="E981" t="s">
        <v>33</v>
      </c>
      <c r="H981" t="s">
        <v>54</v>
      </c>
      <c r="I981" t="s">
        <v>88</v>
      </c>
      <c r="J981" t="s">
        <v>842</v>
      </c>
      <c r="K981" t="s">
        <v>843</v>
      </c>
      <c r="M981">
        <v>5.6000000000000001E-2</v>
      </c>
      <c r="N981">
        <v>20</v>
      </c>
      <c r="P981">
        <f>COUNTIFS(keyword_comparison[record_identifier],keyword_comparison[[#This Row],[record_identifier]],keyword_comparison[Review],"&lt;&gt;")</f>
        <v>32</v>
      </c>
      <c r="Q981" cm="1">
        <f t="array" ref="Q981">SUMPRODUCT((keyword_comparison[record_identifier]=keyword_comparison[[#This Row],[record_identifier]])*(LEN(keyword_comparison[keyword_matcher_output])&gt;0))</f>
        <v>0</v>
      </c>
    </row>
    <row r="982" spans="1:17" x14ac:dyDescent="0.25">
      <c r="A982" t="s">
        <v>821</v>
      </c>
      <c r="B982" t="s">
        <v>822</v>
      </c>
      <c r="C982" t="s">
        <v>823</v>
      </c>
      <c r="D982" t="s">
        <v>20</v>
      </c>
      <c r="E982" t="s">
        <v>33</v>
      </c>
      <c r="H982" t="s">
        <v>54</v>
      </c>
      <c r="I982" t="s">
        <v>88</v>
      </c>
      <c r="J982" t="s">
        <v>687</v>
      </c>
      <c r="K982" t="s">
        <v>688</v>
      </c>
      <c r="M982">
        <v>5.3499999999999999E-2</v>
      </c>
      <c r="N982">
        <v>21</v>
      </c>
      <c r="P982">
        <f>COUNTIFS(keyword_comparison[record_identifier],keyword_comparison[[#This Row],[record_identifier]],keyword_comparison[Review],"&lt;&gt;")</f>
        <v>32</v>
      </c>
      <c r="Q982" cm="1">
        <f t="array" ref="Q982">SUMPRODUCT((keyword_comparison[record_identifier]=keyword_comparison[[#This Row],[record_identifier]])*(LEN(keyword_comparison[keyword_matcher_output])&gt;0))</f>
        <v>0</v>
      </c>
    </row>
    <row r="983" spans="1:17" x14ac:dyDescent="0.25">
      <c r="A983" t="s">
        <v>821</v>
      </c>
      <c r="B983" t="s">
        <v>822</v>
      </c>
      <c r="C983" t="s">
        <v>823</v>
      </c>
      <c r="D983" t="s">
        <v>20</v>
      </c>
      <c r="E983" t="s">
        <v>33</v>
      </c>
      <c r="H983" t="s">
        <v>54</v>
      </c>
      <c r="I983" t="s">
        <v>88</v>
      </c>
      <c r="J983" t="s">
        <v>304</v>
      </c>
      <c r="K983" t="s">
        <v>305</v>
      </c>
      <c r="M983">
        <v>5.2699999999999997E-2</v>
      </c>
      <c r="N983">
        <v>22</v>
      </c>
      <c r="P983">
        <f>COUNTIFS(keyword_comparison[record_identifier],keyword_comparison[[#This Row],[record_identifier]],keyword_comparison[Review],"&lt;&gt;")</f>
        <v>32</v>
      </c>
      <c r="Q983" cm="1">
        <f t="array" ref="Q983">SUMPRODUCT((keyword_comparison[record_identifier]=keyword_comparison[[#This Row],[record_identifier]])*(LEN(keyword_comparison[keyword_matcher_output])&gt;0))</f>
        <v>0</v>
      </c>
    </row>
    <row r="984" spans="1:17" x14ac:dyDescent="0.25">
      <c r="A984" t="s">
        <v>821</v>
      </c>
      <c r="B984" t="s">
        <v>822</v>
      </c>
      <c r="C984" t="s">
        <v>823</v>
      </c>
      <c r="D984" t="s">
        <v>20</v>
      </c>
      <c r="E984" t="s">
        <v>48</v>
      </c>
      <c r="H984" t="s">
        <v>54</v>
      </c>
      <c r="I984" t="s">
        <v>88</v>
      </c>
      <c r="J984" t="s">
        <v>844</v>
      </c>
      <c r="K984" t="s">
        <v>845</v>
      </c>
      <c r="P984">
        <f>COUNTIFS(keyword_comparison[record_identifier],keyword_comparison[[#This Row],[record_identifier]],keyword_comparison[Review],"&lt;&gt;")</f>
        <v>32</v>
      </c>
      <c r="Q984" cm="1">
        <f t="array" ref="Q984">SUMPRODUCT((keyword_comparison[record_identifier]=keyword_comparison[[#This Row],[record_identifier]])*(LEN(keyword_comparison[keyword_matcher_output])&gt;0))</f>
        <v>0</v>
      </c>
    </row>
    <row r="985" spans="1:17" x14ac:dyDescent="0.25">
      <c r="A985" t="s">
        <v>821</v>
      </c>
      <c r="B985" t="s">
        <v>822</v>
      </c>
      <c r="C985" t="s">
        <v>823</v>
      </c>
      <c r="D985" t="s">
        <v>20</v>
      </c>
      <c r="E985" t="s">
        <v>48</v>
      </c>
      <c r="H985" t="s">
        <v>54</v>
      </c>
      <c r="I985" t="s">
        <v>80</v>
      </c>
      <c r="J985" t="s">
        <v>180</v>
      </c>
      <c r="K985" t="s">
        <v>181</v>
      </c>
      <c r="P985">
        <f>COUNTIFS(keyword_comparison[record_identifier],keyword_comparison[[#This Row],[record_identifier]],keyword_comparison[Review],"&lt;&gt;")</f>
        <v>32</v>
      </c>
      <c r="Q985" cm="1">
        <f t="array" ref="Q985">SUMPRODUCT((keyword_comparison[record_identifier]=keyword_comparison[[#This Row],[record_identifier]])*(LEN(keyword_comparison[keyword_matcher_output])&gt;0))</f>
        <v>0</v>
      </c>
    </row>
    <row r="986" spans="1:17" x14ac:dyDescent="0.25">
      <c r="A986" t="s">
        <v>821</v>
      </c>
      <c r="B986" t="s">
        <v>822</v>
      </c>
      <c r="C986" t="s">
        <v>823</v>
      </c>
      <c r="D986" t="s">
        <v>20</v>
      </c>
      <c r="E986" t="s">
        <v>48</v>
      </c>
      <c r="H986" t="s">
        <v>54</v>
      </c>
      <c r="I986" t="s">
        <v>88</v>
      </c>
      <c r="J986" t="s">
        <v>846</v>
      </c>
      <c r="K986" t="s">
        <v>847</v>
      </c>
      <c r="L986" t="b">
        <v>1</v>
      </c>
      <c r="P986">
        <f>COUNTIFS(keyword_comparison[record_identifier],keyword_comparison[[#This Row],[record_identifier]],keyword_comparison[Review],"&lt;&gt;")</f>
        <v>32</v>
      </c>
      <c r="Q986" cm="1">
        <f t="array" ref="Q986">SUMPRODUCT((keyword_comparison[record_identifier]=keyword_comparison[[#This Row],[record_identifier]])*(LEN(keyword_comparison[keyword_matcher_output])&gt;0))</f>
        <v>0</v>
      </c>
    </row>
    <row r="987" spans="1:17" x14ac:dyDescent="0.25">
      <c r="A987" t="s">
        <v>821</v>
      </c>
      <c r="B987" t="s">
        <v>822</v>
      </c>
      <c r="C987" t="s">
        <v>823</v>
      </c>
      <c r="D987" t="s">
        <v>20</v>
      </c>
      <c r="E987" t="s">
        <v>48</v>
      </c>
      <c r="H987" t="s">
        <v>54</v>
      </c>
      <c r="I987" t="s">
        <v>80</v>
      </c>
      <c r="J987" t="s">
        <v>781</v>
      </c>
      <c r="K987" t="s">
        <v>782</v>
      </c>
      <c r="P987">
        <f>COUNTIFS(keyword_comparison[record_identifier],keyword_comparison[[#This Row],[record_identifier]],keyword_comparison[Review],"&lt;&gt;")</f>
        <v>32</v>
      </c>
      <c r="Q987" cm="1">
        <f t="array" ref="Q987">SUMPRODUCT((keyword_comparison[record_identifier]=keyword_comparison[[#This Row],[record_identifier]])*(LEN(keyword_comparison[keyword_matcher_output])&gt;0))</f>
        <v>0</v>
      </c>
    </row>
    <row r="988" spans="1:17" x14ac:dyDescent="0.25">
      <c r="A988" t="s">
        <v>821</v>
      </c>
      <c r="B988" t="s">
        <v>822</v>
      </c>
      <c r="C988" t="s">
        <v>823</v>
      </c>
      <c r="D988" t="s">
        <v>20</v>
      </c>
      <c r="E988" t="s">
        <v>48</v>
      </c>
      <c r="H988" t="s">
        <v>54</v>
      </c>
      <c r="I988" t="s">
        <v>88</v>
      </c>
      <c r="J988" t="s">
        <v>421</v>
      </c>
      <c r="K988" t="s">
        <v>422</v>
      </c>
      <c r="P988">
        <f>COUNTIFS(keyword_comparison[record_identifier],keyword_comparison[[#This Row],[record_identifier]],keyword_comparison[Review],"&lt;&gt;")</f>
        <v>32</v>
      </c>
      <c r="Q988" cm="1">
        <f t="array" ref="Q988">SUMPRODUCT((keyword_comparison[record_identifier]=keyword_comparison[[#This Row],[record_identifier]])*(LEN(keyword_comparison[keyword_matcher_output])&gt;0))</f>
        <v>0</v>
      </c>
    </row>
    <row r="989" spans="1:17" x14ac:dyDescent="0.25">
      <c r="A989" t="s">
        <v>821</v>
      </c>
      <c r="B989" t="s">
        <v>822</v>
      </c>
      <c r="C989" t="s">
        <v>823</v>
      </c>
      <c r="D989" t="s">
        <v>20</v>
      </c>
      <c r="E989" t="s">
        <v>48</v>
      </c>
      <c r="H989" t="s">
        <v>54</v>
      </c>
      <c r="I989" t="s">
        <v>80</v>
      </c>
      <c r="J989" t="s">
        <v>277</v>
      </c>
      <c r="K989" t="s">
        <v>278</v>
      </c>
      <c r="P989">
        <f>COUNTIFS(keyword_comparison[record_identifier],keyword_comparison[[#This Row],[record_identifier]],keyword_comparison[Review],"&lt;&gt;")</f>
        <v>32</v>
      </c>
      <c r="Q989" cm="1">
        <f t="array" ref="Q989">SUMPRODUCT((keyword_comparison[record_identifier]=keyword_comparison[[#This Row],[record_identifier]])*(LEN(keyword_comparison[keyword_matcher_output])&gt;0))</f>
        <v>0</v>
      </c>
    </row>
    <row r="990" spans="1:17" x14ac:dyDescent="0.25">
      <c r="A990" t="s">
        <v>821</v>
      </c>
      <c r="B990" t="s">
        <v>822</v>
      </c>
      <c r="C990" t="s">
        <v>823</v>
      </c>
      <c r="D990" t="s">
        <v>20</v>
      </c>
      <c r="E990" t="s">
        <v>48</v>
      </c>
      <c r="H990" t="s">
        <v>54</v>
      </c>
      <c r="I990" t="s">
        <v>88</v>
      </c>
      <c r="J990" t="s">
        <v>441</v>
      </c>
      <c r="K990" t="s">
        <v>442</v>
      </c>
      <c r="P990">
        <f>COUNTIFS(keyword_comparison[record_identifier],keyword_comparison[[#This Row],[record_identifier]],keyword_comparison[Review],"&lt;&gt;")</f>
        <v>32</v>
      </c>
      <c r="Q990" cm="1">
        <f t="array" ref="Q990">SUMPRODUCT((keyword_comparison[record_identifier]=keyword_comparison[[#This Row],[record_identifier]])*(LEN(keyword_comparison[keyword_matcher_output])&gt;0))</f>
        <v>0</v>
      </c>
    </row>
    <row r="991" spans="1:17" x14ac:dyDescent="0.25">
      <c r="A991" t="s">
        <v>821</v>
      </c>
      <c r="B991" t="s">
        <v>822</v>
      </c>
      <c r="C991" t="s">
        <v>823</v>
      </c>
      <c r="D991" t="s">
        <v>20</v>
      </c>
      <c r="E991" t="s">
        <v>48</v>
      </c>
      <c r="H991" t="s">
        <v>54</v>
      </c>
      <c r="I991" t="s">
        <v>80</v>
      </c>
      <c r="J991" t="s">
        <v>84</v>
      </c>
      <c r="K991" t="s">
        <v>85</v>
      </c>
      <c r="P991">
        <f>COUNTIFS(keyword_comparison[record_identifier],keyword_comparison[[#This Row],[record_identifier]],keyword_comparison[Review],"&lt;&gt;")</f>
        <v>32</v>
      </c>
      <c r="Q991" cm="1">
        <f t="array" ref="Q991">SUMPRODUCT((keyword_comparison[record_identifier]=keyword_comparison[[#This Row],[record_identifier]])*(LEN(keyword_comparison[keyword_matcher_output])&gt;0))</f>
        <v>0</v>
      </c>
    </row>
    <row r="992" spans="1:17" x14ac:dyDescent="0.25">
      <c r="A992" t="s">
        <v>821</v>
      </c>
      <c r="B992" t="s">
        <v>822</v>
      </c>
      <c r="C992" t="s">
        <v>823</v>
      </c>
      <c r="D992" t="s">
        <v>20</v>
      </c>
      <c r="E992" t="s">
        <v>48</v>
      </c>
      <c r="H992" t="s">
        <v>54</v>
      </c>
      <c r="I992" t="s">
        <v>80</v>
      </c>
      <c r="J992" t="s">
        <v>34</v>
      </c>
      <c r="K992" t="s">
        <v>35</v>
      </c>
      <c r="P992">
        <f>COUNTIFS(keyword_comparison[record_identifier],keyword_comparison[[#This Row],[record_identifier]],keyword_comparison[Review],"&lt;&gt;")</f>
        <v>32</v>
      </c>
      <c r="Q992" cm="1">
        <f t="array" ref="Q992">SUMPRODUCT((keyword_comparison[record_identifier]=keyword_comparison[[#This Row],[record_identifier]])*(LEN(keyword_comparison[keyword_matcher_output])&gt;0))</f>
        <v>0</v>
      </c>
    </row>
    <row r="993" spans="1:17" x14ac:dyDescent="0.25">
      <c r="A993" t="s">
        <v>821</v>
      </c>
      <c r="B993" t="s">
        <v>822</v>
      </c>
      <c r="C993" t="s">
        <v>823</v>
      </c>
      <c r="D993" t="s">
        <v>20</v>
      </c>
      <c r="E993" t="s">
        <v>48</v>
      </c>
      <c r="H993" t="s">
        <v>54</v>
      </c>
      <c r="I993" t="s">
        <v>80</v>
      </c>
      <c r="J993" t="s">
        <v>199</v>
      </c>
      <c r="K993" t="s">
        <v>200</v>
      </c>
      <c r="P993">
        <f>COUNTIFS(keyword_comparison[record_identifier],keyword_comparison[[#This Row],[record_identifier]],keyword_comparison[Review],"&lt;&gt;")</f>
        <v>32</v>
      </c>
      <c r="Q993" cm="1">
        <f t="array" ref="Q993">SUMPRODUCT((keyword_comparison[record_identifier]=keyword_comparison[[#This Row],[record_identifier]])*(LEN(keyword_comparison[keyword_matcher_output])&gt;0))</f>
        <v>0</v>
      </c>
    </row>
    <row r="994" spans="1:17" x14ac:dyDescent="0.25">
      <c r="A994" t="s">
        <v>821</v>
      </c>
      <c r="B994" t="s">
        <v>822</v>
      </c>
      <c r="C994" t="s">
        <v>823</v>
      </c>
      <c r="D994" t="s">
        <v>20</v>
      </c>
      <c r="E994" t="s">
        <v>53</v>
      </c>
      <c r="F994" t="s">
        <v>54</v>
      </c>
      <c r="G994" t="s">
        <v>54</v>
      </c>
      <c r="H994" t="s">
        <v>54</v>
      </c>
      <c r="J994" t="s">
        <v>180</v>
      </c>
      <c r="K994" t="s">
        <v>181</v>
      </c>
      <c r="O994">
        <v>1</v>
      </c>
      <c r="P994">
        <f>COUNTIFS(keyword_comparison[record_identifier],keyword_comparison[[#This Row],[record_identifier]],keyword_comparison[Review],"&lt;&gt;")</f>
        <v>32</v>
      </c>
      <c r="Q994" cm="1">
        <f t="array" ref="Q994">SUMPRODUCT((keyword_comparison[record_identifier]=keyword_comparison[[#This Row],[record_identifier]])*(LEN(keyword_comparison[keyword_matcher_output])&gt;0))</f>
        <v>0</v>
      </c>
    </row>
    <row r="995" spans="1:17" x14ac:dyDescent="0.25">
      <c r="A995" t="s">
        <v>821</v>
      </c>
      <c r="B995" t="s">
        <v>822</v>
      </c>
      <c r="C995" t="s">
        <v>823</v>
      </c>
      <c r="D995" t="s">
        <v>20</v>
      </c>
      <c r="E995" t="s">
        <v>53</v>
      </c>
      <c r="F995" t="s">
        <v>54</v>
      </c>
      <c r="G995" t="s">
        <v>54</v>
      </c>
      <c r="H995" t="s">
        <v>54</v>
      </c>
      <c r="J995" t="s">
        <v>844</v>
      </c>
      <c r="K995" t="s">
        <v>845</v>
      </c>
      <c r="O995">
        <v>2</v>
      </c>
      <c r="P995">
        <f>COUNTIFS(keyword_comparison[record_identifier],keyword_comparison[[#This Row],[record_identifier]],keyword_comparison[Review],"&lt;&gt;")</f>
        <v>32</v>
      </c>
      <c r="Q995" cm="1">
        <f t="array" ref="Q995">SUMPRODUCT((keyword_comparison[record_identifier]=keyword_comparison[[#This Row],[record_identifier]])*(LEN(keyword_comparison[keyword_matcher_output])&gt;0))</f>
        <v>0</v>
      </c>
    </row>
    <row r="996" spans="1:17" x14ac:dyDescent="0.25">
      <c r="A996" t="s">
        <v>821</v>
      </c>
      <c r="B996" t="s">
        <v>822</v>
      </c>
      <c r="C996" t="s">
        <v>823</v>
      </c>
      <c r="D996" t="s">
        <v>20</v>
      </c>
      <c r="E996" t="s">
        <v>53</v>
      </c>
      <c r="F996" t="s">
        <v>54</v>
      </c>
      <c r="G996" t="s">
        <v>54</v>
      </c>
      <c r="H996" t="s">
        <v>54</v>
      </c>
      <c r="J996" t="s">
        <v>781</v>
      </c>
      <c r="K996" t="s">
        <v>782</v>
      </c>
      <c r="O996">
        <v>3</v>
      </c>
      <c r="P996">
        <f>COUNTIFS(keyword_comparison[record_identifier],keyword_comparison[[#This Row],[record_identifier]],keyword_comparison[Review],"&lt;&gt;")</f>
        <v>32</v>
      </c>
      <c r="Q996" cm="1">
        <f t="array" ref="Q996">SUMPRODUCT((keyword_comparison[record_identifier]=keyword_comparison[[#This Row],[record_identifier]])*(LEN(keyword_comparison[keyword_matcher_output])&gt;0))</f>
        <v>0</v>
      </c>
    </row>
    <row r="997" spans="1:17" x14ac:dyDescent="0.25">
      <c r="A997" t="s">
        <v>821</v>
      </c>
      <c r="B997" t="s">
        <v>822</v>
      </c>
      <c r="C997" t="s">
        <v>823</v>
      </c>
      <c r="D997" t="s">
        <v>20</v>
      </c>
      <c r="E997" t="s">
        <v>53</v>
      </c>
      <c r="F997" t="s">
        <v>54</v>
      </c>
      <c r="G997" t="s">
        <v>54</v>
      </c>
      <c r="H997" t="s">
        <v>54</v>
      </c>
      <c r="J997" t="s">
        <v>277</v>
      </c>
      <c r="K997" t="s">
        <v>278</v>
      </c>
      <c r="O997">
        <v>4</v>
      </c>
      <c r="P997">
        <f>COUNTIFS(keyword_comparison[record_identifier],keyword_comparison[[#This Row],[record_identifier]],keyword_comparison[Review],"&lt;&gt;")</f>
        <v>32</v>
      </c>
      <c r="Q997" cm="1">
        <f t="array" ref="Q997">SUMPRODUCT((keyword_comparison[record_identifier]=keyword_comparison[[#This Row],[record_identifier]])*(LEN(keyword_comparison[keyword_matcher_output])&gt;0))</f>
        <v>0</v>
      </c>
    </row>
    <row r="998" spans="1:17" x14ac:dyDescent="0.25">
      <c r="A998" t="s">
        <v>821</v>
      </c>
      <c r="B998" t="s">
        <v>822</v>
      </c>
      <c r="C998" t="s">
        <v>823</v>
      </c>
      <c r="D998" t="s">
        <v>20</v>
      </c>
      <c r="E998" t="s">
        <v>53</v>
      </c>
      <c r="F998" t="s">
        <v>54</v>
      </c>
      <c r="G998" t="s">
        <v>54</v>
      </c>
      <c r="H998" t="s">
        <v>54</v>
      </c>
      <c r="J998" t="s">
        <v>255</v>
      </c>
      <c r="K998" t="s">
        <v>256</v>
      </c>
      <c r="O998">
        <v>5</v>
      </c>
      <c r="P998">
        <f>COUNTIFS(keyword_comparison[record_identifier],keyword_comparison[[#This Row],[record_identifier]],keyword_comparison[Review],"&lt;&gt;")</f>
        <v>32</v>
      </c>
      <c r="Q998" cm="1">
        <f t="array" ref="Q998">SUMPRODUCT((keyword_comparison[record_identifier]=keyword_comparison[[#This Row],[record_identifier]])*(LEN(keyword_comparison[keyword_matcher_output])&gt;0))</f>
        <v>0</v>
      </c>
    </row>
    <row r="999" spans="1:17" x14ac:dyDescent="0.25">
      <c r="A999" t="s">
        <v>821</v>
      </c>
      <c r="B999" t="s">
        <v>822</v>
      </c>
      <c r="C999" t="s">
        <v>823</v>
      </c>
      <c r="D999" t="s">
        <v>20</v>
      </c>
      <c r="E999" t="s">
        <v>53</v>
      </c>
      <c r="F999" t="s">
        <v>54</v>
      </c>
      <c r="G999" t="s">
        <v>54</v>
      </c>
      <c r="H999" t="s">
        <v>54</v>
      </c>
      <c r="J999" t="s">
        <v>795</v>
      </c>
      <c r="K999" t="s">
        <v>342</v>
      </c>
      <c r="O999">
        <v>6</v>
      </c>
      <c r="P999">
        <f>COUNTIFS(keyword_comparison[record_identifier],keyword_comparison[[#This Row],[record_identifier]],keyword_comparison[Review],"&lt;&gt;")</f>
        <v>32</v>
      </c>
      <c r="Q999" cm="1">
        <f t="array" ref="Q999">SUMPRODUCT((keyword_comparison[record_identifier]=keyword_comparison[[#This Row],[record_identifier]])*(LEN(keyword_comparison[keyword_matcher_output])&gt;0))</f>
        <v>0</v>
      </c>
    </row>
    <row r="1000" spans="1:17" x14ac:dyDescent="0.25">
      <c r="A1000" t="s">
        <v>821</v>
      </c>
      <c r="B1000" t="s">
        <v>822</v>
      </c>
      <c r="C1000" t="s">
        <v>823</v>
      </c>
      <c r="D1000" t="s">
        <v>20</v>
      </c>
      <c r="E1000" t="s">
        <v>53</v>
      </c>
      <c r="F1000" t="s">
        <v>54</v>
      </c>
      <c r="G1000" t="s">
        <v>54</v>
      </c>
      <c r="H1000" t="s">
        <v>54</v>
      </c>
      <c r="J1000" t="s">
        <v>848</v>
      </c>
      <c r="K1000" t="s">
        <v>849</v>
      </c>
      <c r="O1000">
        <v>7</v>
      </c>
      <c r="P1000">
        <f>COUNTIFS(keyword_comparison[record_identifier],keyword_comparison[[#This Row],[record_identifier]],keyword_comparison[Review],"&lt;&gt;")</f>
        <v>32</v>
      </c>
      <c r="Q1000" cm="1">
        <f t="array" ref="Q1000">SUMPRODUCT((keyword_comparison[record_identifier]=keyword_comparison[[#This Row],[record_identifier]])*(LEN(keyword_comparison[keyword_matcher_output])&gt;0))</f>
        <v>0</v>
      </c>
    </row>
    <row r="1001" spans="1:17" x14ac:dyDescent="0.25">
      <c r="A1001" t="s">
        <v>821</v>
      </c>
      <c r="B1001" t="s">
        <v>822</v>
      </c>
      <c r="C1001" t="s">
        <v>823</v>
      </c>
      <c r="D1001" t="s">
        <v>20</v>
      </c>
      <c r="E1001" t="s">
        <v>53</v>
      </c>
      <c r="F1001" t="s">
        <v>54</v>
      </c>
      <c r="G1001" t="s">
        <v>54</v>
      </c>
      <c r="H1001" t="s">
        <v>54</v>
      </c>
      <c r="J1001" t="s">
        <v>850</v>
      </c>
      <c r="K1001" t="s">
        <v>847</v>
      </c>
      <c r="O1001">
        <v>8</v>
      </c>
      <c r="P1001">
        <f>COUNTIFS(keyword_comparison[record_identifier],keyword_comparison[[#This Row],[record_identifier]],keyword_comparison[Review],"&lt;&gt;")</f>
        <v>32</v>
      </c>
      <c r="Q1001" cm="1">
        <f t="array" ref="Q1001">SUMPRODUCT((keyword_comparison[record_identifier]=keyword_comparison[[#This Row],[record_identifier]])*(LEN(keyword_comparison[keyword_matcher_output])&gt;0))</f>
        <v>0</v>
      </c>
    </row>
    <row r="1002" spans="1:17" x14ac:dyDescent="0.25">
      <c r="A1002" t="s">
        <v>821</v>
      </c>
      <c r="B1002" t="s">
        <v>822</v>
      </c>
      <c r="C1002" t="s">
        <v>823</v>
      </c>
      <c r="D1002" t="s">
        <v>20</v>
      </c>
      <c r="E1002" t="s">
        <v>53</v>
      </c>
      <c r="F1002" t="s">
        <v>54</v>
      </c>
      <c r="G1002" t="s">
        <v>54</v>
      </c>
      <c r="H1002" t="s">
        <v>54</v>
      </c>
      <c r="J1002" t="s">
        <v>195</v>
      </c>
      <c r="K1002" t="s">
        <v>196</v>
      </c>
      <c r="O1002">
        <v>9</v>
      </c>
      <c r="P1002">
        <f>COUNTIFS(keyword_comparison[record_identifier],keyword_comparison[[#This Row],[record_identifier]],keyword_comparison[Review],"&lt;&gt;")</f>
        <v>32</v>
      </c>
      <c r="Q1002" cm="1">
        <f t="array" ref="Q1002">SUMPRODUCT((keyword_comparison[record_identifier]=keyword_comparison[[#This Row],[record_identifier]])*(LEN(keyword_comparison[keyword_matcher_output])&gt;0))</f>
        <v>0</v>
      </c>
    </row>
    <row r="1003" spans="1:17" x14ac:dyDescent="0.25">
      <c r="A1003" t="s">
        <v>821</v>
      </c>
      <c r="B1003" t="s">
        <v>822</v>
      </c>
      <c r="C1003" t="s">
        <v>823</v>
      </c>
      <c r="D1003" t="s">
        <v>20</v>
      </c>
      <c r="E1003" t="s">
        <v>53</v>
      </c>
      <c r="F1003" t="s">
        <v>54</v>
      </c>
      <c r="G1003" t="s">
        <v>54</v>
      </c>
      <c r="H1003" t="s">
        <v>54</v>
      </c>
      <c r="J1003" t="s">
        <v>34</v>
      </c>
      <c r="K1003" t="s">
        <v>35</v>
      </c>
      <c r="O1003">
        <v>10</v>
      </c>
      <c r="P1003">
        <f>COUNTIFS(keyword_comparison[record_identifier],keyword_comparison[[#This Row],[record_identifier]],keyword_comparison[Review],"&lt;&gt;")</f>
        <v>32</v>
      </c>
      <c r="Q1003" cm="1">
        <f t="array" ref="Q1003">SUMPRODUCT((keyword_comparison[record_identifier]=keyword_comparison[[#This Row],[record_identifier]])*(LEN(keyword_comparison[keyword_matcher_output])&gt;0))</f>
        <v>0</v>
      </c>
    </row>
    <row r="1004" spans="1:17" x14ac:dyDescent="0.25">
      <c r="A1004" t="s">
        <v>851</v>
      </c>
      <c r="B1004" t="s">
        <v>852</v>
      </c>
      <c r="C1004" t="s">
        <v>853</v>
      </c>
      <c r="D1004" t="s">
        <v>20</v>
      </c>
      <c r="E1004" t="s">
        <v>33</v>
      </c>
      <c r="H1004" t="s">
        <v>54</v>
      </c>
      <c r="I1004" t="s">
        <v>80</v>
      </c>
      <c r="J1004" t="s">
        <v>812</v>
      </c>
      <c r="K1004" t="s">
        <v>566</v>
      </c>
      <c r="M1004">
        <v>0.82789999999999997</v>
      </c>
      <c r="N1004">
        <v>1</v>
      </c>
      <c r="P1004">
        <f>COUNTIFS(keyword_comparison[record_identifier],keyword_comparison[[#This Row],[record_identifier]],keyword_comparison[Review],"&lt;&gt;")</f>
        <v>19</v>
      </c>
      <c r="Q1004" cm="1">
        <f t="array" ref="Q1004">SUMPRODUCT((keyword_comparison[record_identifier]=keyword_comparison[[#This Row],[record_identifier]])*(LEN(keyword_comparison[keyword_matcher_output])&gt;0))</f>
        <v>0</v>
      </c>
    </row>
    <row r="1005" spans="1:17" x14ac:dyDescent="0.25">
      <c r="A1005" s="4" t="s">
        <v>851</v>
      </c>
      <c r="B1005" t="s">
        <v>852</v>
      </c>
      <c r="C1005" t="s">
        <v>853</v>
      </c>
      <c r="D1005" t="s">
        <v>20</v>
      </c>
      <c r="E1005" t="s">
        <v>33</v>
      </c>
      <c r="H1005" t="s">
        <v>54</v>
      </c>
      <c r="I1005" t="s">
        <v>80</v>
      </c>
      <c r="J1005" t="s">
        <v>561</v>
      </c>
      <c r="K1005" t="s">
        <v>562</v>
      </c>
      <c r="M1005">
        <v>0.74929999999999997</v>
      </c>
      <c r="N1005">
        <v>2</v>
      </c>
      <c r="P1005">
        <f>COUNTIFS(keyword_comparison[record_identifier],keyword_comparison[[#This Row],[record_identifier]],keyword_comparison[Review],"&lt;&gt;")</f>
        <v>19</v>
      </c>
      <c r="Q1005" cm="1">
        <f t="array" ref="Q1005">SUMPRODUCT((keyword_comparison[record_identifier]=keyword_comparison[[#This Row],[record_identifier]])*(LEN(keyword_comparison[keyword_matcher_output])&gt;0))</f>
        <v>0</v>
      </c>
    </row>
    <row r="1006" spans="1:17" x14ac:dyDescent="0.25">
      <c r="A1006" t="s">
        <v>851</v>
      </c>
      <c r="B1006" t="s">
        <v>852</v>
      </c>
      <c r="C1006" t="s">
        <v>853</v>
      </c>
      <c r="D1006" t="s">
        <v>20</v>
      </c>
      <c r="E1006" t="s">
        <v>33</v>
      </c>
      <c r="H1006" t="s">
        <v>54</v>
      </c>
      <c r="I1006" t="s">
        <v>80</v>
      </c>
      <c r="J1006" t="s">
        <v>563</v>
      </c>
      <c r="K1006" t="s">
        <v>564</v>
      </c>
      <c r="M1006">
        <v>0.55230000000000001</v>
      </c>
      <c r="N1006">
        <v>3</v>
      </c>
      <c r="P1006">
        <f>COUNTIFS(keyword_comparison[record_identifier],keyword_comparison[[#This Row],[record_identifier]],keyword_comparison[Review],"&lt;&gt;")</f>
        <v>19</v>
      </c>
      <c r="Q1006" cm="1">
        <f t="array" ref="Q1006">SUMPRODUCT((keyword_comparison[record_identifier]=keyword_comparison[[#This Row],[record_identifier]])*(LEN(keyword_comparison[keyword_matcher_output])&gt;0))</f>
        <v>0</v>
      </c>
    </row>
    <row r="1007" spans="1:17" x14ac:dyDescent="0.25">
      <c r="A1007" t="s">
        <v>851</v>
      </c>
      <c r="B1007" t="s">
        <v>852</v>
      </c>
      <c r="C1007" t="s">
        <v>853</v>
      </c>
      <c r="D1007" t="s">
        <v>20</v>
      </c>
      <c r="E1007" t="s">
        <v>33</v>
      </c>
      <c r="H1007" t="s">
        <v>54</v>
      </c>
      <c r="I1007" t="s">
        <v>80</v>
      </c>
      <c r="J1007" t="s">
        <v>815</v>
      </c>
      <c r="K1007" t="s">
        <v>816</v>
      </c>
      <c r="M1007">
        <v>0.46310000000000001</v>
      </c>
      <c r="N1007">
        <v>4</v>
      </c>
      <c r="P1007">
        <f>COUNTIFS(keyword_comparison[record_identifier],keyword_comparison[[#This Row],[record_identifier]],keyword_comparison[Review],"&lt;&gt;")</f>
        <v>19</v>
      </c>
      <c r="Q1007" cm="1">
        <f t="array" ref="Q1007">SUMPRODUCT((keyword_comparison[record_identifier]=keyword_comparison[[#This Row],[record_identifier]])*(LEN(keyword_comparison[keyword_matcher_output])&gt;0))</f>
        <v>0</v>
      </c>
    </row>
    <row r="1008" spans="1:17" x14ac:dyDescent="0.25">
      <c r="A1008" t="s">
        <v>851</v>
      </c>
      <c r="B1008" t="s">
        <v>852</v>
      </c>
      <c r="C1008" t="s">
        <v>853</v>
      </c>
      <c r="D1008" t="s">
        <v>20</v>
      </c>
      <c r="E1008" t="s">
        <v>33</v>
      </c>
      <c r="H1008" t="s">
        <v>54</v>
      </c>
      <c r="I1008" t="s">
        <v>80</v>
      </c>
      <c r="J1008" t="s">
        <v>604</v>
      </c>
      <c r="K1008" t="s">
        <v>605</v>
      </c>
      <c r="M1008">
        <v>0.34089999999999998</v>
      </c>
      <c r="N1008">
        <v>5</v>
      </c>
      <c r="P1008">
        <f>COUNTIFS(keyword_comparison[record_identifier],keyword_comparison[[#This Row],[record_identifier]],keyword_comparison[Review],"&lt;&gt;")</f>
        <v>19</v>
      </c>
      <c r="Q1008" cm="1">
        <f t="array" ref="Q1008">SUMPRODUCT((keyword_comparison[record_identifier]=keyword_comparison[[#This Row],[record_identifier]])*(LEN(keyword_comparison[keyword_matcher_output])&gt;0))</f>
        <v>0</v>
      </c>
    </row>
    <row r="1009" spans="1:17" x14ac:dyDescent="0.25">
      <c r="A1009" t="s">
        <v>851</v>
      </c>
      <c r="B1009" t="s">
        <v>852</v>
      </c>
      <c r="C1009" t="s">
        <v>853</v>
      </c>
      <c r="D1009" t="s">
        <v>20</v>
      </c>
      <c r="E1009" t="s">
        <v>33</v>
      </c>
      <c r="H1009" t="s">
        <v>54</v>
      </c>
      <c r="I1009" t="s">
        <v>80</v>
      </c>
      <c r="J1009" t="s">
        <v>544</v>
      </c>
      <c r="K1009" t="s">
        <v>223</v>
      </c>
      <c r="M1009">
        <v>0.31790000000000002</v>
      </c>
      <c r="N1009">
        <v>6</v>
      </c>
      <c r="P1009">
        <f>COUNTIFS(keyword_comparison[record_identifier],keyword_comparison[[#This Row],[record_identifier]],keyword_comparison[Review],"&lt;&gt;")</f>
        <v>19</v>
      </c>
      <c r="Q1009" cm="1">
        <f t="array" ref="Q1009">SUMPRODUCT((keyword_comparison[record_identifier]=keyword_comparison[[#This Row],[record_identifier]])*(LEN(keyword_comparison[keyword_matcher_output])&gt;0))</f>
        <v>0</v>
      </c>
    </row>
    <row r="1010" spans="1:17" x14ac:dyDescent="0.25">
      <c r="A1010" t="s">
        <v>851</v>
      </c>
      <c r="B1010" t="s">
        <v>852</v>
      </c>
      <c r="C1010" t="s">
        <v>853</v>
      </c>
      <c r="D1010" t="s">
        <v>20</v>
      </c>
      <c r="E1010" t="s">
        <v>33</v>
      </c>
      <c r="H1010" t="s">
        <v>54</v>
      </c>
      <c r="I1010" t="s">
        <v>80</v>
      </c>
      <c r="J1010" t="s">
        <v>603</v>
      </c>
      <c r="K1010" t="s">
        <v>108</v>
      </c>
      <c r="M1010">
        <v>0.2903</v>
      </c>
      <c r="N1010">
        <v>7</v>
      </c>
      <c r="P1010">
        <f>COUNTIFS(keyword_comparison[record_identifier],keyword_comparison[[#This Row],[record_identifier]],keyword_comparison[Review],"&lt;&gt;")</f>
        <v>19</v>
      </c>
      <c r="Q1010" cm="1">
        <f t="array" ref="Q1010">SUMPRODUCT((keyword_comparison[record_identifier]=keyword_comparison[[#This Row],[record_identifier]])*(LEN(keyword_comparison[keyword_matcher_output])&gt;0))</f>
        <v>0</v>
      </c>
    </row>
    <row r="1011" spans="1:17" x14ac:dyDescent="0.25">
      <c r="A1011" t="s">
        <v>851</v>
      </c>
      <c r="B1011" t="s">
        <v>852</v>
      </c>
      <c r="C1011" t="s">
        <v>853</v>
      </c>
      <c r="D1011" t="s">
        <v>20</v>
      </c>
      <c r="E1011" t="s">
        <v>33</v>
      </c>
      <c r="H1011" t="s">
        <v>54</v>
      </c>
      <c r="I1011" t="s">
        <v>80</v>
      </c>
      <c r="J1011" t="s">
        <v>217</v>
      </c>
      <c r="K1011" t="s">
        <v>218</v>
      </c>
      <c r="M1011">
        <v>0.22889999999999999</v>
      </c>
      <c r="N1011">
        <v>8</v>
      </c>
      <c r="P1011">
        <f>COUNTIFS(keyword_comparison[record_identifier],keyword_comparison[[#This Row],[record_identifier]],keyword_comparison[Review],"&lt;&gt;")</f>
        <v>19</v>
      </c>
      <c r="Q1011" cm="1">
        <f t="array" ref="Q1011">SUMPRODUCT((keyword_comparison[record_identifier]=keyword_comparison[[#This Row],[record_identifier]])*(LEN(keyword_comparison[keyword_matcher_output])&gt;0))</f>
        <v>0</v>
      </c>
    </row>
    <row r="1012" spans="1:17" x14ac:dyDescent="0.25">
      <c r="A1012" t="s">
        <v>851</v>
      </c>
      <c r="B1012" t="s">
        <v>852</v>
      </c>
      <c r="C1012" t="s">
        <v>853</v>
      </c>
      <c r="D1012" t="s">
        <v>20</v>
      </c>
      <c r="E1012" t="s">
        <v>33</v>
      </c>
      <c r="H1012" t="s">
        <v>54</v>
      </c>
      <c r="I1012" t="s">
        <v>88</v>
      </c>
      <c r="J1012" t="s">
        <v>854</v>
      </c>
      <c r="K1012" t="s">
        <v>814</v>
      </c>
      <c r="M1012">
        <v>0.1497</v>
      </c>
      <c r="N1012">
        <v>9</v>
      </c>
      <c r="P1012">
        <f>COUNTIFS(keyword_comparison[record_identifier],keyword_comparison[[#This Row],[record_identifier]],keyword_comparison[Review],"&lt;&gt;")</f>
        <v>19</v>
      </c>
      <c r="Q1012" cm="1">
        <f t="array" ref="Q1012">SUMPRODUCT((keyword_comparison[record_identifier]=keyword_comparison[[#This Row],[record_identifier]])*(LEN(keyword_comparison[keyword_matcher_output])&gt;0))</f>
        <v>0</v>
      </c>
    </row>
    <row r="1013" spans="1:17" x14ac:dyDescent="0.25">
      <c r="A1013" t="s">
        <v>851</v>
      </c>
      <c r="B1013" t="s">
        <v>852</v>
      </c>
      <c r="C1013" t="s">
        <v>853</v>
      </c>
      <c r="D1013" t="s">
        <v>20</v>
      </c>
      <c r="E1013" t="s">
        <v>33</v>
      </c>
      <c r="H1013" t="s">
        <v>54</v>
      </c>
      <c r="I1013" t="s">
        <v>80</v>
      </c>
      <c r="J1013" t="s">
        <v>91</v>
      </c>
      <c r="K1013" t="s">
        <v>93</v>
      </c>
      <c r="M1013">
        <v>0.13619999999999999</v>
      </c>
      <c r="N1013">
        <v>10</v>
      </c>
      <c r="P1013">
        <f>COUNTIFS(keyword_comparison[record_identifier],keyword_comparison[[#This Row],[record_identifier]],keyword_comparison[Review],"&lt;&gt;")</f>
        <v>19</v>
      </c>
      <c r="Q1013" cm="1">
        <f t="array" ref="Q1013">SUMPRODUCT((keyword_comparison[record_identifier]=keyword_comparison[[#This Row],[record_identifier]])*(LEN(keyword_comparison[keyword_matcher_output])&gt;0))</f>
        <v>0</v>
      </c>
    </row>
    <row r="1014" spans="1:17" x14ac:dyDescent="0.25">
      <c r="A1014" t="s">
        <v>851</v>
      </c>
      <c r="B1014" t="s">
        <v>852</v>
      </c>
      <c r="C1014" t="s">
        <v>853</v>
      </c>
      <c r="D1014" t="s">
        <v>20</v>
      </c>
      <c r="E1014" t="s">
        <v>33</v>
      </c>
      <c r="H1014" t="s">
        <v>54</v>
      </c>
      <c r="I1014" t="s">
        <v>88</v>
      </c>
      <c r="J1014" t="s">
        <v>302</v>
      </c>
      <c r="K1014" t="s">
        <v>303</v>
      </c>
      <c r="M1014">
        <v>6.2199999999999998E-2</v>
      </c>
      <c r="N1014">
        <v>11</v>
      </c>
      <c r="P1014">
        <f>COUNTIFS(keyword_comparison[record_identifier],keyword_comparison[[#This Row],[record_identifier]],keyword_comparison[Review],"&lt;&gt;")</f>
        <v>19</v>
      </c>
      <c r="Q1014" cm="1">
        <f t="array" ref="Q1014">SUMPRODUCT((keyword_comparison[record_identifier]=keyword_comparison[[#This Row],[record_identifier]])*(LEN(keyword_comparison[keyword_matcher_output])&gt;0))</f>
        <v>0</v>
      </c>
    </row>
    <row r="1015" spans="1:17" x14ac:dyDescent="0.25">
      <c r="A1015" t="s">
        <v>851</v>
      </c>
      <c r="B1015" t="s">
        <v>852</v>
      </c>
      <c r="C1015" t="s">
        <v>853</v>
      </c>
      <c r="D1015" t="s">
        <v>20</v>
      </c>
      <c r="E1015" t="s">
        <v>33</v>
      </c>
      <c r="H1015" t="s">
        <v>54</v>
      </c>
      <c r="I1015" t="s">
        <v>88</v>
      </c>
      <c r="J1015" t="s">
        <v>855</v>
      </c>
      <c r="K1015" t="s">
        <v>856</v>
      </c>
      <c r="M1015">
        <v>6.1199999999999997E-2</v>
      </c>
      <c r="N1015">
        <v>12</v>
      </c>
      <c r="P1015">
        <f>COUNTIFS(keyword_comparison[record_identifier],keyword_comparison[[#This Row],[record_identifier]],keyword_comparison[Review],"&lt;&gt;")</f>
        <v>19</v>
      </c>
      <c r="Q1015" cm="1">
        <f t="array" ref="Q1015">SUMPRODUCT((keyword_comparison[record_identifier]=keyword_comparison[[#This Row],[record_identifier]])*(LEN(keyword_comparison[keyword_matcher_output])&gt;0))</f>
        <v>0</v>
      </c>
    </row>
    <row r="1016" spans="1:17" x14ac:dyDescent="0.25">
      <c r="A1016" t="s">
        <v>851</v>
      </c>
      <c r="B1016" t="s">
        <v>852</v>
      </c>
      <c r="C1016" t="s">
        <v>853</v>
      </c>
      <c r="D1016" t="s">
        <v>20</v>
      </c>
      <c r="E1016" t="s">
        <v>33</v>
      </c>
      <c r="H1016" t="s">
        <v>54</v>
      </c>
      <c r="I1016" t="s">
        <v>80</v>
      </c>
      <c r="J1016" t="s">
        <v>226</v>
      </c>
      <c r="K1016" t="s">
        <v>227</v>
      </c>
      <c r="M1016">
        <v>5.1799999999999999E-2</v>
      </c>
      <c r="N1016">
        <v>13</v>
      </c>
      <c r="P1016">
        <f>COUNTIFS(keyword_comparison[record_identifier],keyword_comparison[[#This Row],[record_identifier]],keyword_comparison[Review],"&lt;&gt;")</f>
        <v>19</v>
      </c>
      <c r="Q1016" cm="1">
        <f t="array" ref="Q1016">SUMPRODUCT((keyword_comparison[record_identifier]=keyword_comparison[[#This Row],[record_identifier]])*(LEN(keyword_comparison[keyword_matcher_output])&gt;0))</f>
        <v>0</v>
      </c>
    </row>
    <row r="1017" spans="1:17" x14ac:dyDescent="0.25">
      <c r="A1017" t="s">
        <v>851</v>
      </c>
      <c r="B1017" t="s">
        <v>852</v>
      </c>
      <c r="C1017" t="s">
        <v>853</v>
      </c>
      <c r="D1017" t="s">
        <v>20</v>
      </c>
      <c r="E1017" t="s">
        <v>48</v>
      </c>
      <c r="H1017" t="s">
        <v>54</v>
      </c>
      <c r="I1017" t="s">
        <v>80</v>
      </c>
      <c r="J1017" t="s">
        <v>237</v>
      </c>
      <c r="K1017" t="s">
        <v>238</v>
      </c>
      <c r="P1017">
        <f>COUNTIFS(keyword_comparison[record_identifier],keyword_comparison[[#This Row],[record_identifier]],keyword_comparison[Review],"&lt;&gt;")</f>
        <v>19</v>
      </c>
      <c r="Q1017" cm="1">
        <f t="array" ref="Q1017">SUMPRODUCT((keyword_comparison[record_identifier]=keyword_comparison[[#This Row],[record_identifier]])*(LEN(keyword_comparison[keyword_matcher_output])&gt;0))</f>
        <v>0</v>
      </c>
    </row>
    <row r="1018" spans="1:17" x14ac:dyDescent="0.25">
      <c r="A1018" t="s">
        <v>851</v>
      </c>
      <c r="B1018" t="s">
        <v>852</v>
      </c>
      <c r="C1018" t="s">
        <v>853</v>
      </c>
      <c r="D1018" t="s">
        <v>20</v>
      </c>
      <c r="E1018" t="s">
        <v>48</v>
      </c>
      <c r="H1018" t="s">
        <v>54</v>
      </c>
      <c r="I1018" t="s">
        <v>80</v>
      </c>
      <c r="J1018" t="s">
        <v>91</v>
      </c>
      <c r="K1018" t="s">
        <v>93</v>
      </c>
      <c r="P1018">
        <f>COUNTIFS(keyword_comparison[record_identifier],keyword_comparison[[#This Row],[record_identifier]],keyword_comparison[Review],"&lt;&gt;")</f>
        <v>19</v>
      </c>
      <c r="Q1018" cm="1">
        <f t="array" ref="Q1018">SUMPRODUCT((keyword_comparison[record_identifier]=keyword_comparison[[#This Row],[record_identifier]])*(LEN(keyword_comparison[keyword_matcher_output])&gt;0))</f>
        <v>0</v>
      </c>
    </row>
    <row r="1019" spans="1:17" x14ac:dyDescent="0.25">
      <c r="A1019" t="s">
        <v>851</v>
      </c>
      <c r="B1019" t="s">
        <v>852</v>
      </c>
      <c r="C1019" t="s">
        <v>853</v>
      </c>
      <c r="D1019" t="s">
        <v>20</v>
      </c>
      <c r="E1019" t="s">
        <v>48</v>
      </c>
      <c r="H1019" t="s">
        <v>54</v>
      </c>
      <c r="I1019" t="s">
        <v>80</v>
      </c>
      <c r="J1019" t="s">
        <v>91</v>
      </c>
      <c r="K1019" t="s">
        <v>92</v>
      </c>
      <c r="P1019">
        <f>COUNTIFS(keyword_comparison[record_identifier],keyword_comparison[[#This Row],[record_identifier]],keyword_comparison[Review],"&lt;&gt;")</f>
        <v>19</v>
      </c>
      <c r="Q1019" cm="1">
        <f t="array" ref="Q1019">SUMPRODUCT((keyword_comparison[record_identifier]=keyword_comparison[[#This Row],[record_identifier]])*(LEN(keyword_comparison[keyword_matcher_output])&gt;0))</f>
        <v>0</v>
      </c>
    </row>
    <row r="1020" spans="1:17" x14ac:dyDescent="0.25">
      <c r="A1020" t="s">
        <v>851</v>
      </c>
      <c r="B1020" t="s">
        <v>852</v>
      </c>
      <c r="C1020" t="s">
        <v>853</v>
      </c>
      <c r="D1020" t="s">
        <v>20</v>
      </c>
      <c r="E1020" t="s">
        <v>48</v>
      </c>
      <c r="H1020" t="s">
        <v>54</v>
      </c>
      <c r="I1020" t="s">
        <v>80</v>
      </c>
      <c r="J1020" t="s">
        <v>84</v>
      </c>
      <c r="K1020" t="s">
        <v>85</v>
      </c>
      <c r="P1020">
        <f>COUNTIFS(keyword_comparison[record_identifier],keyword_comparison[[#This Row],[record_identifier]],keyword_comparison[Review],"&lt;&gt;")</f>
        <v>19</v>
      </c>
      <c r="Q1020" cm="1">
        <f t="array" ref="Q1020">SUMPRODUCT((keyword_comparison[record_identifier]=keyword_comparison[[#This Row],[record_identifier]])*(LEN(keyword_comparison[keyword_matcher_output])&gt;0))</f>
        <v>0</v>
      </c>
    </row>
    <row r="1021" spans="1:17" x14ac:dyDescent="0.25">
      <c r="A1021" t="s">
        <v>851</v>
      </c>
      <c r="B1021" t="s">
        <v>852</v>
      </c>
      <c r="C1021" t="s">
        <v>853</v>
      </c>
      <c r="D1021" t="s">
        <v>20</v>
      </c>
      <c r="E1021" t="s">
        <v>48</v>
      </c>
      <c r="H1021" t="s">
        <v>54</v>
      </c>
      <c r="I1021" t="s">
        <v>80</v>
      </c>
      <c r="J1021" t="s">
        <v>34</v>
      </c>
      <c r="K1021" t="s">
        <v>35</v>
      </c>
      <c r="P1021">
        <f>COUNTIFS(keyword_comparison[record_identifier],keyword_comparison[[#This Row],[record_identifier]],keyword_comparison[Review],"&lt;&gt;")</f>
        <v>19</v>
      </c>
      <c r="Q1021" cm="1">
        <f t="array" ref="Q1021">SUMPRODUCT((keyword_comparison[record_identifier]=keyword_comparison[[#This Row],[record_identifier]])*(LEN(keyword_comparison[keyword_matcher_output])&gt;0))</f>
        <v>0</v>
      </c>
    </row>
    <row r="1022" spans="1:17" x14ac:dyDescent="0.25">
      <c r="A1022" t="s">
        <v>851</v>
      </c>
      <c r="B1022" t="s">
        <v>852</v>
      </c>
      <c r="C1022" t="s">
        <v>853</v>
      </c>
      <c r="D1022" t="s">
        <v>20</v>
      </c>
      <c r="E1022" t="s">
        <v>48</v>
      </c>
      <c r="H1022" t="s">
        <v>54</v>
      </c>
      <c r="I1022" t="s">
        <v>88</v>
      </c>
      <c r="J1022" t="s">
        <v>857</v>
      </c>
      <c r="K1022" t="s">
        <v>858</v>
      </c>
      <c r="P1022">
        <f>COUNTIFS(keyword_comparison[record_identifier],keyword_comparison[[#This Row],[record_identifier]],keyword_comparison[Review],"&lt;&gt;")</f>
        <v>19</v>
      </c>
      <c r="Q1022" cm="1">
        <f t="array" ref="Q1022">SUMPRODUCT((keyword_comparison[record_identifier]=keyword_comparison[[#This Row],[record_identifier]])*(LEN(keyword_comparison[keyword_matcher_output])&gt;0))</f>
        <v>0</v>
      </c>
    </row>
    <row r="1023" spans="1:17" x14ac:dyDescent="0.25">
      <c r="A1023" t="s">
        <v>851</v>
      </c>
      <c r="B1023" t="s">
        <v>852</v>
      </c>
      <c r="C1023" t="s">
        <v>853</v>
      </c>
      <c r="D1023" t="s">
        <v>20</v>
      </c>
      <c r="E1023" t="s">
        <v>53</v>
      </c>
      <c r="F1023" t="s">
        <v>54</v>
      </c>
      <c r="G1023" t="s">
        <v>54</v>
      </c>
      <c r="H1023" t="s">
        <v>54</v>
      </c>
      <c r="J1023" t="s">
        <v>563</v>
      </c>
      <c r="K1023" t="s">
        <v>564</v>
      </c>
      <c r="O1023">
        <v>1</v>
      </c>
      <c r="P1023">
        <f>COUNTIFS(keyword_comparison[record_identifier],keyword_comparison[[#This Row],[record_identifier]],keyword_comparison[Review],"&lt;&gt;")</f>
        <v>19</v>
      </c>
      <c r="Q1023" cm="1">
        <f t="array" ref="Q1023">SUMPRODUCT((keyword_comparison[record_identifier]=keyword_comparison[[#This Row],[record_identifier]])*(LEN(keyword_comparison[keyword_matcher_output])&gt;0))</f>
        <v>0</v>
      </c>
    </row>
    <row r="1024" spans="1:17" x14ac:dyDescent="0.25">
      <c r="A1024" t="s">
        <v>851</v>
      </c>
      <c r="B1024" t="s">
        <v>852</v>
      </c>
      <c r="C1024" t="s">
        <v>853</v>
      </c>
      <c r="D1024" t="s">
        <v>20</v>
      </c>
      <c r="E1024" t="s">
        <v>53</v>
      </c>
      <c r="F1024" t="s">
        <v>54</v>
      </c>
      <c r="G1024" t="s">
        <v>54</v>
      </c>
      <c r="H1024" t="s">
        <v>54</v>
      </c>
      <c r="J1024" t="s">
        <v>815</v>
      </c>
      <c r="K1024" t="s">
        <v>816</v>
      </c>
      <c r="O1024">
        <v>2</v>
      </c>
      <c r="P1024">
        <f>COUNTIFS(keyword_comparison[record_identifier],keyword_comparison[[#This Row],[record_identifier]],keyword_comparison[Review],"&lt;&gt;")</f>
        <v>19</v>
      </c>
      <c r="Q1024" cm="1">
        <f t="array" ref="Q1024">SUMPRODUCT((keyword_comparison[record_identifier]=keyword_comparison[[#This Row],[record_identifier]])*(LEN(keyword_comparison[keyword_matcher_output])&gt;0))</f>
        <v>0</v>
      </c>
    </row>
    <row r="1025" spans="1:17" x14ac:dyDescent="0.25">
      <c r="A1025" t="s">
        <v>851</v>
      </c>
      <c r="B1025" t="s">
        <v>852</v>
      </c>
      <c r="C1025" t="s">
        <v>853</v>
      </c>
      <c r="D1025" t="s">
        <v>20</v>
      </c>
      <c r="E1025" t="s">
        <v>53</v>
      </c>
      <c r="F1025" t="s">
        <v>54</v>
      </c>
      <c r="G1025" t="s">
        <v>54</v>
      </c>
      <c r="H1025" t="s">
        <v>54</v>
      </c>
      <c r="J1025" t="s">
        <v>561</v>
      </c>
      <c r="K1025" t="s">
        <v>562</v>
      </c>
      <c r="O1025">
        <v>3</v>
      </c>
      <c r="P1025">
        <f>COUNTIFS(keyword_comparison[record_identifier],keyword_comparison[[#This Row],[record_identifier]],keyword_comparison[Review],"&lt;&gt;")</f>
        <v>19</v>
      </c>
      <c r="Q1025" cm="1">
        <f t="array" ref="Q1025">SUMPRODUCT((keyword_comparison[record_identifier]=keyword_comparison[[#This Row],[record_identifier]])*(LEN(keyword_comparison[keyword_matcher_output])&gt;0))</f>
        <v>0</v>
      </c>
    </row>
    <row r="1026" spans="1:17" x14ac:dyDescent="0.25">
      <c r="A1026" t="s">
        <v>851</v>
      </c>
      <c r="B1026" t="s">
        <v>852</v>
      </c>
      <c r="C1026" t="s">
        <v>853</v>
      </c>
      <c r="D1026" t="s">
        <v>20</v>
      </c>
      <c r="E1026" t="s">
        <v>53</v>
      </c>
      <c r="F1026" t="s">
        <v>54</v>
      </c>
      <c r="G1026" t="s">
        <v>54</v>
      </c>
      <c r="H1026" t="s">
        <v>54</v>
      </c>
      <c r="J1026" t="s">
        <v>565</v>
      </c>
      <c r="K1026" t="s">
        <v>566</v>
      </c>
      <c r="O1026">
        <v>4</v>
      </c>
      <c r="P1026">
        <f>COUNTIFS(keyword_comparison[record_identifier],keyword_comparison[[#This Row],[record_identifier]],keyword_comparison[Review],"&lt;&gt;")</f>
        <v>19</v>
      </c>
      <c r="Q1026" cm="1">
        <f t="array" ref="Q1026">SUMPRODUCT((keyword_comparison[record_identifier]=keyword_comparison[[#This Row],[record_identifier]])*(LEN(keyword_comparison[keyword_matcher_output])&gt;0))</f>
        <v>0</v>
      </c>
    </row>
    <row r="1027" spans="1:17" x14ac:dyDescent="0.25">
      <c r="A1027" t="s">
        <v>851</v>
      </c>
      <c r="B1027" t="s">
        <v>852</v>
      </c>
      <c r="C1027" t="s">
        <v>853</v>
      </c>
      <c r="D1027" t="s">
        <v>20</v>
      </c>
      <c r="E1027" t="s">
        <v>53</v>
      </c>
      <c r="F1027" t="s">
        <v>54</v>
      </c>
      <c r="G1027" t="s">
        <v>54</v>
      </c>
      <c r="H1027" t="s">
        <v>54</v>
      </c>
      <c r="J1027" t="s">
        <v>795</v>
      </c>
      <c r="K1027" t="s">
        <v>342</v>
      </c>
      <c r="O1027">
        <v>5</v>
      </c>
      <c r="P1027">
        <f>COUNTIFS(keyword_comparison[record_identifier],keyword_comparison[[#This Row],[record_identifier]],keyword_comparison[Review],"&lt;&gt;")</f>
        <v>19</v>
      </c>
      <c r="Q1027" cm="1">
        <f t="array" ref="Q1027">SUMPRODUCT((keyword_comparison[record_identifier]=keyword_comparison[[#This Row],[record_identifier]])*(LEN(keyword_comparison[keyword_matcher_output])&gt;0))</f>
        <v>0</v>
      </c>
    </row>
    <row r="1028" spans="1:17" x14ac:dyDescent="0.25">
      <c r="A1028" t="s">
        <v>851</v>
      </c>
      <c r="B1028" t="s">
        <v>852</v>
      </c>
      <c r="C1028" t="s">
        <v>853</v>
      </c>
      <c r="D1028" t="s">
        <v>20</v>
      </c>
      <c r="E1028" t="s">
        <v>53</v>
      </c>
      <c r="F1028" t="s">
        <v>54</v>
      </c>
      <c r="G1028" t="s">
        <v>54</v>
      </c>
      <c r="H1028" t="s">
        <v>54</v>
      </c>
      <c r="J1028" t="s">
        <v>255</v>
      </c>
      <c r="K1028" t="s">
        <v>256</v>
      </c>
      <c r="O1028">
        <v>6</v>
      </c>
      <c r="P1028">
        <f>COUNTIFS(keyword_comparison[record_identifier],keyword_comparison[[#This Row],[record_identifier]],keyword_comparison[Review],"&lt;&gt;")</f>
        <v>19</v>
      </c>
      <c r="Q1028" cm="1">
        <f t="array" ref="Q1028">SUMPRODUCT((keyword_comparison[record_identifier]=keyword_comparison[[#This Row],[record_identifier]])*(LEN(keyword_comparison[keyword_matcher_output])&gt;0))</f>
        <v>0</v>
      </c>
    </row>
    <row r="1029" spans="1:17" x14ac:dyDescent="0.25">
      <c r="A1029" t="s">
        <v>851</v>
      </c>
      <c r="B1029" t="s">
        <v>852</v>
      </c>
      <c r="C1029" t="s">
        <v>853</v>
      </c>
      <c r="D1029" t="s">
        <v>20</v>
      </c>
      <c r="E1029" t="s">
        <v>53</v>
      </c>
      <c r="F1029" t="s">
        <v>54</v>
      </c>
      <c r="G1029" t="s">
        <v>54</v>
      </c>
      <c r="H1029" t="s">
        <v>54</v>
      </c>
      <c r="J1029" t="s">
        <v>132</v>
      </c>
      <c r="K1029" t="s">
        <v>133</v>
      </c>
      <c r="O1029">
        <v>7</v>
      </c>
      <c r="P1029">
        <f>COUNTIFS(keyword_comparison[record_identifier],keyword_comparison[[#This Row],[record_identifier]],keyword_comparison[Review],"&lt;&gt;")</f>
        <v>19</v>
      </c>
      <c r="Q1029" cm="1">
        <f t="array" ref="Q1029">SUMPRODUCT((keyword_comparison[record_identifier]=keyword_comparison[[#This Row],[record_identifier]])*(LEN(keyword_comparison[keyword_matcher_output])&gt;0))</f>
        <v>0</v>
      </c>
    </row>
    <row r="1030" spans="1:17" x14ac:dyDescent="0.25">
      <c r="A1030" t="s">
        <v>851</v>
      </c>
      <c r="B1030" t="s">
        <v>852</v>
      </c>
      <c r="C1030" t="s">
        <v>853</v>
      </c>
      <c r="D1030" t="s">
        <v>20</v>
      </c>
      <c r="E1030" t="s">
        <v>53</v>
      </c>
      <c r="F1030" t="s">
        <v>54</v>
      </c>
      <c r="G1030" t="s">
        <v>54</v>
      </c>
      <c r="H1030" t="s">
        <v>54</v>
      </c>
      <c r="J1030" t="s">
        <v>260</v>
      </c>
      <c r="K1030" t="s">
        <v>261</v>
      </c>
      <c r="O1030">
        <v>8</v>
      </c>
      <c r="P1030">
        <f>COUNTIFS(keyword_comparison[record_identifier],keyword_comparison[[#This Row],[record_identifier]],keyword_comparison[Review],"&lt;&gt;")</f>
        <v>19</v>
      </c>
      <c r="Q1030" cm="1">
        <f t="array" ref="Q1030">SUMPRODUCT((keyword_comparison[record_identifier]=keyword_comparison[[#This Row],[record_identifier]])*(LEN(keyword_comparison[keyword_matcher_output])&gt;0))</f>
        <v>0</v>
      </c>
    </row>
    <row r="1031" spans="1:17" x14ac:dyDescent="0.25">
      <c r="A1031" t="s">
        <v>851</v>
      </c>
      <c r="B1031" t="s">
        <v>852</v>
      </c>
      <c r="C1031" t="s">
        <v>853</v>
      </c>
      <c r="D1031" t="s">
        <v>20</v>
      </c>
      <c r="E1031" t="s">
        <v>53</v>
      </c>
      <c r="F1031" t="s">
        <v>54</v>
      </c>
      <c r="G1031" t="s">
        <v>54</v>
      </c>
      <c r="H1031" t="s">
        <v>54</v>
      </c>
      <c r="J1031" t="s">
        <v>318</v>
      </c>
      <c r="K1031" t="s">
        <v>319</v>
      </c>
      <c r="O1031">
        <v>9</v>
      </c>
      <c r="P1031">
        <f>COUNTIFS(keyword_comparison[record_identifier],keyword_comparison[[#This Row],[record_identifier]],keyword_comparison[Review],"&lt;&gt;")</f>
        <v>19</v>
      </c>
      <c r="Q1031" cm="1">
        <f t="array" ref="Q1031">SUMPRODUCT((keyword_comparison[record_identifier]=keyword_comparison[[#This Row],[record_identifier]])*(LEN(keyword_comparison[keyword_matcher_output])&gt;0))</f>
        <v>0</v>
      </c>
    </row>
    <row r="1032" spans="1:17" x14ac:dyDescent="0.25">
      <c r="A1032" t="s">
        <v>851</v>
      </c>
      <c r="B1032" t="s">
        <v>852</v>
      </c>
      <c r="C1032" t="s">
        <v>853</v>
      </c>
      <c r="D1032" t="s">
        <v>20</v>
      </c>
      <c r="E1032" t="s">
        <v>53</v>
      </c>
      <c r="F1032" t="s">
        <v>54</v>
      </c>
      <c r="G1032" t="s">
        <v>54</v>
      </c>
      <c r="H1032" t="s">
        <v>54</v>
      </c>
      <c r="J1032" t="s">
        <v>204</v>
      </c>
      <c r="K1032" t="s">
        <v>205</v>
      </c>
      <c r="O1032">
        <v>10</v>
      </c>
      <c r="P1032">
        <f>COUNTIFS(keyword_comparison[record_identifier],keyword_comparison[[#This Row],[record_identifier]],keyword_comparison[Review],"&lt;&gt;")</f>
        <v>19</v>
      </c>
      <c r="Q1032" cm="1">
        <f t="array" ref="Q1032">SUMPRODUCT((keyword_comparison[record_identifier]=keyword_comparison[[#This Row],[record_identifier]])*(LEN(keyword_comparison[keyword_matcher_output])&gt;0))</f>
        <v>0</v>
      </c>
    </row>
    <row r="1033" spans="1:17" x14ac:dyDescent="0.25">
      <c r="A1033" t="s">
        <v>859</v>
      </c>
      <c r="B1033" t="s">
        <v>860</v>
      </c>
      <c r="C1033" t="s">
        <v>861</v>
      </c>
      <c r="D1033" t="s">
        <v>20</v>
      </c>
      <c r="E1033" t="s">
        <v>33</v>
      </c>
      <c r="H1033" t="s">
        <v>54</v>
      </c>
      <c r="J1033" t="s">
        <v>629</v>
      </c>
      <c r="K1033" t="s">
        <v>259</v>
      </c>
      <c r="M1033">
        <v>0.37130000000000002</v>
      </c>
      <c r="N1033">
        <v>1</v>
      </c>
      <c r="P1033">
        <f>COUNTIFS(keyword_comparison[record_identifier],keyword_comparison[[#This Row],[record_identifier]],keyword_comparison[Review],"&lt;&gt;")</f>
        <v>0</v>
      </c>
      <c r="Q1033" cm="1">
        <f t="array" ref="Q1033">SUMPRODUCT((keyword_comparison[record_identifier]=keyword_comparison[[#This Row],[record_identifier]])*(LEN(keyword_comparison[keyword_matcher_output])&gt;0))</f>
        <v>0</v>
      </c>
    </row>
    <row r="1034" spans="1:17" x14ac:dyDescent="0.25">
      <c r="A1034" t="s">
        <v>859</v>
      </c>
      <c r="B1034" t="s">
        <v>860</v>
      </c>
      <c r="C1034" t="s">
        <v>861</v>
      </c>
      <c r="D1034" t="s">
        <v>20</v>
      </c>
      <c r="E1034" t="s">
        <v>33</v>
      </c>
      <c r="H1034" t="s">
        <v>54</v>
      </c>
      <c r="J1034" t="s">
        <v>228</v>
      </c>
      <c r="K1034" t="s">
        <v>229</v>
      </c>
      <c r="M1034">
        <v>0.28239999999999998</v>
      </c>
      <c r="N1034">
        <v>2</v>
      </c>
      <c r="P1034">
        <f>COUNTIFS(keyword_comparison[record_identifier],keyword_comparison[[#This Row],[record_identifier]],keyword_comparison[Review],"&lt;&gt;")</f>
        <v>0</v>
      </c>
      <c r="Q1034" cm="1">
        <f t="array" ref="Q1034">SUMPRODUCT((keyword_comparison[record_identifier]=keyword_comparison[[#This Row],[record_identifier]])*(LEN(keyword_comparison[keyword_matcher_output])&gt;0))</f>
        <v>0</v>
      </c>
    </row>
    <row r="1035" spans="1:17" x14ac:dyDescent="0.25">
      <c r="A1035" t="s">
        <v>859</v>
      </c>
      <c r="B1035" t="s">
        <v>860</v>
      </c>
      <c r="C1035" t="s">
        <v>861</v>
      </c>
      <c r="D1035" t="s">
        <v>20</v>
      </c>
      <c r="E1035" t="s">
        <v>33</v>
      </c>
      <c r="H1035" t="s">
        <v>54</v>
      </c>
      <c r="J1035" t="s">
        <v>182</v>
      </c>
      <c r="K1035" t="s">
        <v>183</v>
      </c>
      <c r="M1035">
        <v>8.7300000000000003E-2</v>
      </c>
      <c r="N1035">
        <v>3</v>
      </c>
      <c r="P1035">
        <f>COUNTIFS(keyword_comparison[record_identifier],keyword_comparison[[#This Row],[record_identifier]],keyword_comparison[Review],"&lt;&gt;")</f>
        <v>0</v>
      </c>
      <c r="Q1035" cm="1">
        <f t="array" ref="Q1035">SUMPRODUCT((keyword_comparison[record_identifier]=keyword_comparison[[#This Row],[record_identifier]])*(LEN(keyword_comparison[keyword_matcher_output])&gt;0))</f>
        <v>0</v>
      </c>
    </row>
    <row r="1036" spans="1:17" x14ac:dyDescent="0.25">
      <c r="A1036" t="s">
        <v>859</v>
      </c>
      <c r="B1036" t="s">
        <v>860</v>
      </c>
      <c r="C1036" t="s">
        <v>861</v>
      </c>
      <c r="D1036" t="s">
        <v>20</v>
      </c>
      <c r="E1036" t="s">
        <v>33</v>
      </c>
      <c r="H1036" t="s">
        <v>54</v>
      </c>
      <c r="J1036" t="s">
        <v>34</v>
      </c>
      <c r="K1036" t="s">
        <v>35</v>
      </c>
      <c r="M1036">
        <v>7.7200000000000005E-2</v>
      </c>
      <c r="N1036">
        <v>4</v>
      </c>
      <c r="P1036">
        <f>COUNTIFS(keyword_comparison[record_identifier],keyword_comparison[[#This Row],[record_identifier]],keyword_comparison[Review],"&lt;&gt;")</f>
        <v>0</v>
      </c>
      <c r="Q1036" cm="1">
        <f t="array" ref="Q1036">SUMPRODUCT((keyword_comparison[record_identifier]=keyword_comparison[[#This Row],[record_identifier]])*(LEN(keyword_comparison[keyword_matcher_output])&gt;0))</f>
        <v>0</v>
      </c>
    </row>
    <row r="1037" spans="1:17" x14ac:dyDescent="0.25">
      <c r="A1037" t="s">
        <v>859</v>
      </c>
      <c r="B1037" t="s">
        <v>860</v>
      </c>
      <c r="C1037" t="s">
        <v>861</v>
      </c>
      <c r="D1037" t="s">
        <v>20</v>
      </c>
      <c r="E1037" t="s">
        <v>33</v>
      </c>
      <c r="H1037" t="s">
        <v>54</v>
      </c>
      <c r="J1037" t="s">
        <v>634</v>
      </c>
      <c r="K1037" t="s">
        <v>635</v>
      </c>
      <c r="M1037">
        <v>5.3400000000000003E-2</v>
      </c>
      <c r="N1037">
        <v>5</v>
      </c>
      <c r="P1037">
        <f>COUNTIFS(keyword_comparison[record_identifier],keyword_comparison[[#This Row],[record_identifier]],keyword_comparison[Review],"&lt;&gt;")</f>
        <v>0</v>
      </c>
      <c r="Q1037" cm="1">
        <f t="array" ref="Q1037">SUMPRODUCT((keyword_comparison[record_identifier]=keyword_comparison[[#This Row],[record_identifier]])*(LEN(keyword_comparison[keyword_matcher_output])&gt;0))</f>
        <v>0</v>
      </c>
    </row>
    <row r="1038" spans="1:17" x14ac:dyDescent="0.25">
      <c r="A1038" t="s">
        <v>859</v>
      </c>
      <c r="B1038" t="s">
        <v>860</v>
      </c>
      <c r="C1038" t="s">
        <v>861</v>
      </c>
      <c r="D1038" t="s">
        <v>20</v>
      </c>
      <c r="E1038" t="s">
        <v>48</v>
      </c>
      <c r="H1038" t="s">
        <v>54</v>
      </c>
      <c r="J1038" t="s">
        <v>255</v>
      </c>
      <c r="K1038" t="s">
        <v>256</v>
      </c>
      <c r="P1038">
        <f>COUNTIFS(keyword_comparison[record_identifier],keyword_comparison[[#This Row],[record_identifier]],keyword_comparison[Review],"&lt;&gt;")</f>
        <v>0</v>
      </c>
      <c r="Q1038" cm="1">
        <f t="array" ref="Q1038">SUMPRODUCT((keyword_comparison[record_identifier]=keyword_comparison[[#This Row],[record_identifier]])*(LEN(keyword_comparison[keyword_matcher_output])&gt;0))</f>
        <v>0</v>
      </c>
    </row>
    <row r="1039" spans="1:17" x14ac:dyDescent="0.25">
      <c r="A1039" t="s">
        <v>859</v>
      </c>
      <c r="B1039" t="s">
        <v>860</v>
      </c>
      <c r="C1039" t="s">
        <v>861</v>
      </c>
      <c r="D1039" t="s">
        <v>20</v>
      </c>
      <c r="E1039" t="s">
        <v>48</v>
      </c>
      <c r="H1039" t="s">
        <v>54</v>
      </c>
      <c r="J1039" t="s">
        <v>51</v>
      </c>
      <c r="K1039" t="s">
        <v>52</v>
      </c>
      <c r="P1039">
        <f>COUNTIFS(keyword_comparison[record_identifier],keyword_comparison[[#This Row],[record_identifier]],keyword_comparison[Review],"&lt;&gt;")</f>
        <v>0</v>
      </c>
      <c r="Q1039" cm="1">
        <f t="array" ref="Q1039">SUMPRODUCT((keyword_comparison[record_identifier]=keyword_comparison[[#This Row],[record_identifier]])*(LEN(keyword_comparison[keyword_matcher_output])&gt;0))</f>
        <v>0</v>
      </c>
    </row>
    <row r="1040" spans="1:17" x14ac:dyDescent="0.25">
      <c r="A1040" t="s">
        <v>859</v>
      </c>
      <c r="B1040" t="s">
        <v>860</v>
      </c>
      <c r="C1040" t="s">
        <v>861</v>
      </c>
      <c r="D1040" t="s">
        <v>20</v>
      </c>
      <c r="E1040" t="s">
        <v>48</v>
      </c>
      <c r="H1040" t="s">
        <v>54</v>
      </c>
      <c r="J1040" t="s">
        <v>547</v>
      </c>
      <c r="K1040" t="s">
        <v>221</v>
      </c>
      <c r="P1040">
        <f>COUNTIFS(keyword_comparison[record_identifier],keyword_comparison[[#This Row],[record_identifier]],keyword_comparison[Review],"&lt;&gt;")</f>
        <v>0</v>
      </c>
      <c r="Q1040" cm="1">
        <f t="array" ref="Q1040">SUMPRODUCT((keyword_comparison[record_identifier]=keyword_comparison[[#This Row],[record_identifier]])*(LEN(keyword_comparison[keyword_matcher_output])&gt;0))</f>
        <v>0</v>
      </c>
    </row>
    <row r="1041" spans="1:17" x14ac:dyDescent="0.25">
      <c r="A1041" t="s">
        <v>859</v>
      </c>
      <c r="B1041" t="s">
        <v>860</v>
      </c>
      <c r="C1041" t="s">
        <v>861</v>
      </c>
      <c r="D1041" t="s">
        <v>20</v>
      </c>
      <c r="E1041" t="s">
        <v>48</v>
      </c>
      <c r="H1041" t="s">
        <v>54</v>
      </c>
      <c r="J1041" t="s">
        <v>547</v>
      </c>
      <c r="K1041" t="s">
        <v>220</v>
      </c>
      <c r="P1041">
        <f>COUNTIFS(keyword_comparison[record_identifier],keyword_comparison[[#This Row],[record_identifier]],keyword_comparison[Review],"&lt;&gt;")</f>
        <v>0</v>
      </c>
      <c r="Q1041" cm="1">
        <f t="array" ref="Q1041">SUMPRODUCT((keyword_comparison[record_identifier]=keyword_comparison[[#This Row],[record_identifier]])*(LEN(keyword_comparison[keyword_matcher_output])&gt;0))</f>
        <v>0</v>
      </c>
    </row>
    <row r="1042" spans="1:17" x14ac:dyDescent="0.25">
      <c r="A1042" t="s">
        <v>859</v>
      </c>
      <c r="B1042" t="s">
        <v>860</v>
      </c>
      <c r="C1042" t="s">
        <v>861</v>
      </c>
      <c r="D1042" t="s">
        <v>20</v>
      </c>
      <c r="E1042" t="s">
        <v>48</v>
      </c>
      <c r="H1042" t="s">
        <v>54</v>
      </c>
      <c r="J1042" t="s">
        <v>230</v>
      </c>
      <c r="K1042" t="s">
        <v>52</v>
      </c>
      <c r="P1042">
        <f>COUNTIFS(keyword_comparison[record_identifier],keyword_comparison[[#This Row],[record_identifier]],keyword_comparison[Review],"&lt;&gt;")</f>
        <v>0</v>
      </c>
      <c r="Q1042" cm="1">
        <f t="array" ref="Q1042">SUMPRODUCT((keyword_comparison[record_identifier]=keyword_comparison[[#This Row],[record_identifier]])*(LEN(keyword_comparison[keyword_matcher_output])&gt;0))</f>
        <v>0</v>
      </c>
    </row>
    <row r="1043" spans="1:17" x14ac:dyDescent="0.25">
      <c r="A1043" t="s">
        <v>859</v>
      </c>
      <c r="B1043" t="s">
        <v>860</v>
      </c>
      <c r="C1043" t="s">
        <v>861</v>
      </c>
      <c r="D1043" t="s">
        <v>20</v>
      </c>
      <c r="E1043" t="s">
        <v>48</v>
      </c>
      <c r="H1043" t="s">
        <v>54</v>
      </c>
      <c r="J1043" t="s">
        <v>609</v>
      </c>
      <c r="K1043" t="s">
        <v>610</v>
      </c>
      <c r="P1043">
        <f>COUNTIFS(keyword_comparison[record_identifier],keyword_comparison[[#This Row],[record_identifier]],keyword_comparison[Review],"&lt;&gt;")</f>
        <v>0</v>
      </c>
      <c r="Q1043" cm="1">
        <f t="array" ref="Q1043">SUMPRODUCT((keyword_comparison[record_identifier]=keyword_comparison[[#This Row],[record_identifier]])*(LEN(keyword_comparison[keyword_matcher_output])&gt;0))</f>
        <v>0</v>
      </c>
    </row>
    <row r="1044" spans="1:17" x14ac:dyDescent="0.25">
      <c r="A1044" t="s">
        <v>859</v>
      </c>
      <c r="B1044" t="s">
        <v>860</v>
      </c>
      <c r="C1044" t="s">
        <v>861</v>
      </c>
      <c r="D1044" t="s">
        <v>20</v>
      </c>
      <c r="E1044" t="s">
        <v>48</v>
      </c>
      <c r="H1044" t="s">
        <v>54</v>
      </c>
      <c r="J1044" t="s">
        <v>136</v>
      </c>
      <c r="K1044" t="s">
        <v>137</v>
      </c>
      <c r="P1044">
        <f>COUNTIFS(keyword_comparison[record_identifier],keyword_comparison[[#This Row],[record_identifier]],keyword_comparison[Review],"&lt;&gt;")</f>
        <v>0</v>
      </c>
      <c r="Q1044" cm="1">
        <f t="array" ref="Q1044">SUMPRODUCT((keyword_comparison[record_identifier]=keyword_comparison[[#This Row],[record_identifier]])*(LEN(keyword_comparison[keyword_matcher_output])&gt;0))</f>
        <v>0</v>
      </c>
    </row>
    <row r="1045" spans="1:17" x14ac:dyDescent="0.25">
      <c r="A1045" t="s">
        <v>859</v>
      </c>
      <c r="B1045" t="s">
        <v>860</v>
      </c>
      <c r="C1045" t="s">
        <v>861</v>
      </c>
      <c r="D1045" t="s">
        <v>20</v>
      </c>
      <c r="E1045" t="s">
        <v>48</v>
      </c>
      <c r="H1045" t="s">
        <v>54</v>
      </c>
      <c r="J1045" t="s">
        <v>84</v>
      </c>
      <c r="K1045" t="s">
        <v>85</v>
      </c>
      <c r="P1045">
        <f>COUNTIFS(keyword_comparison[record_identifier],keyword_comparison[[#This Row],[record_identifier]],keyword_comparison[Review],"&lt;&gt;")</f>
        <v>0</v>
      </c>
      <c r="Q1045" cm="1">
        <f t="array" ref="Q1045">SUMPRODUCT((keyword_comparison[record_identifier]=keyword_comparison[[#This Row],[record_identifier]])*(LEN(keyword_comparison[keyword_matcher_output])&gt;0))</f>
        <v>0</v>
      </c>
    </row>
    <row r="1046" spans="1:17" x14ac:dyDescent="0.25">
      <c r="A1046" t="s">
        <v>859</v>
      </c>
      <c r="B1046" t="s">
        <v>860</v>
      </c>
      <c r="C1046" t="s">
        <v>861</v>
      </c>
      <c r="D1046" t="s">
        <v>20</v>
      </c>
      <c r="E1046" t="s">
        <v>48</v>
      </c>
      <c r="H1046" t="s">
        <v>54</v>
      </c>
      <c r="J1046" t="s">
        <v>549</v>
      </c>
      <c r="K1046" t="s">
        <v>203</v>
      </c>
      <c r="P1046">
        <f>COUNTIFS(keyword_comparison[record_identifier],keyword_comparison[[#This Row],[record_identifier]],keyword_comparison[Review],"&lt;&gt;")</f>
        <v>0</v>
      </c>
      <c r="Q1046" cm="1">
        <f t="array" ref="Q1046">SUMPRODUCT((keyword_comparison[record_identifier]=keyword_comparison[[#This Row],[record_identifier]])*(LEN(keyword_comparison[keyword_matcher_output])&gt;0))</f>
        <v>0</v>
      </c>
    </row>
    <row r="1047" spans="1:17" x14ac:dyDescent="0.25">
      <c r="A1047" t="s">
        <v>859</v>
      </c>
      <c r="B1047" t="s">
        <v>860</v>
      </c>
      <c r="C1047" t="s">
        <v>861</v>
      </c>
      <c r="D1047" t="s">
        <v>20</v>
      </c>
      <c r="E1047" t="s">
        <v>53</v>
      </c>
      <c r="F1047" t="s">
        <v>54</v>
      </c>
      <c r="G1047" t="s">
        <v>54</v>
      </c>
      <c r="H1047" t="s">
        <v>54</v>
      </c>
      <c r="J1047" t="s">
        <v>51</v>
      </c>
      <c r="K1047" t="s">
        <v>52</v>
      </c>
      <c r="O1047">
        <v>1</v>
      </c>
      <c r="P1047">
        <f>COUNTIFS(keyword_comparison[record_identifier],keyword_comparison[[#This Row],[record_identifier]],keyword_comparison[Review],"&lt;&gt;")</f>
        <v>0</v>
      </c>
      <c r="Q1047" cm="1">
        <f t="array" ref="Q1047">SUMPRODUCT((keyword_comparison[record_identifier]=keyword_comparison[[#This Row],[record_identifier]])*(LEN(keyword_comparison[keyword_matcher_output])&gt;0))</f>
        <v>0</v>
      </c>
    </row>
    <row r="1048" spans="1:17" x14ac:dyDescent="0.25">
      <c r="A1048" t="s">
        <v>859</v>
      </c>
      <c r="B1048" t="s">
        <v>860</v>
      </c>
      <c r="C1048" t="s">
        <v>861</v>
      </c>
      <c r="D1048" t="s">
        <v>20</v>
      </c>
      <c r="E1048" t="s">
        <v>53</v>
      </c>
      <c r="F1048" t="s">
        <v>54</v>
      </c>
      <c r="G1048" t="s">
        <v>54</v>
      </c>
      <c r="H1048" t="s">
        <v>54</v>
      </c>
      <c r="J1048" t="s">
        <v>255</v>
      </c>
      <c r="K1048" t="s">
        <v>256</v>
      </c>
      <c r="O1048">
        <v>2</v>
      </c>
      <c r="P1048">
        <f>COUNTIFS(keyword_comparison[record_identifier],keyword_comparison[[#This Row],[record_identifier]],keyword_comparison[Review],"&lt;&gt;")</f>
        <v>0</v>
      </c>
      <c r="Q1048" cm="1">
        <f t="array" ref="Q1048">SUMPRODUCT((keyword_comparison[record_identifier]=keyword_comparison[[#This Row],[record_identifier]])*(LEN(keyword_comparison[keyword_matcher_output])&gt;0))</f>
        <v>0</v>
      </c>
    </row>
    <row r="1049" spans="1:17" x14ac:dyDescent="0.25">
      <c r="A1049" t="s">
        <v>859</v>
      </c>
      <c r="B1049" t="s">
        <v>860</v>
      </c>
      <c r="C1049" t="s">
        <v>861</v>
      </c>
      <c r="D1049" t="s">
        <v>20</v>
      </c>
      <c r="E1049" t="s">
        <v>53</v>
      </c>
      <c r="F1049" t="s">
        <v>54</v>
      </c>
      <c r="G1049" t="s">
        <v>54</v>
      </c>
      <c r="H1049" t="s">
        <v>54</v>
      </c>
      <c r="J1049" t="s">
        <v>609</v>
      </c>
      <c r="K1049" t="s">
        <v>610</v>
      </c>
      <c r="O1049">
        <v>3</v>
      </c>
      <c r="P1049">
        <f>COUNTIFS(keyword_comparison[record_identifier],keyword_comparison[[#This Row],[record_identifier]],keyword_comparison[Review],"&lt;&gt;")</f>
        <v>0</v>
      </c>
      <c r="Q1049" cm="1">
        <f t="array" ref="Q1049">SUMPRODUCT((keyword_comparison[record_identifier]=keyword_comparison[[#This Row],[record_identifier]])*(LEN(keyword_comparison[keyword_matcher_output])&gt;0))</f>
        <v>0</v>
      </c>
    </row>
    <row r="1050" spans="1:17" x14ac:dyDescent="0.25">
      <c r="A1050" t="s">
        <v>859</v>
      </c>
      <c r="B1050" t="s">
        <v>860</v>
      </c>
      <c r="C1050" t="s">
        <v>861</v>
      </c>
      <c r="D1050" t="s">
        <v>20</v>
      </c>
      <c r="E1050" t="s">
        <v>53</v>
      </c>
      <c r="F1050" t="s">
        <v>54</v>
      </c>
      <c r="G1050" t="s">
        <v>54</v>
      </c>
      <c r="H1050" t="s">
        <v>54</v>
      </c>
      <c r="J1050" t="s">
        <v>547</v>
      </c>
      <c r="K1050" t="s">
        <v>221</v>
      </c>
      <c r="O1050">
        <v>4</v>
      </c>
      <c r="P1050">
        <f>COUNTIFS(keyword_comparison[record_identifier],keyword_comparison[[#This Row],[record_identifier]],keyword_comparison[Review],"&lt;&gt;")</f>
        <v>0</v>
      </c>
      <c r="Q1050" cm="1">
        <f t="array" ref="Q1050">SUMPRODUCT((keyword_comparison[record_identifier]=keyword_comparison[[#This Row],[record_identifier]])*(LEN(keyword_comparison[keyword_matcher_output])&gt;0))</f>
        <v>0</v>
      </c>
    </row>
    <row r="1051" spans="1:17" x14ac:dyDescent="0.25">
      <c r="A1051" t="s">
        <v>859</v>
      </c>
      <c r="B1051" t="s">
        <v>860</v>
      </c>
      <c r="C1051" t="s">
        <v>861</v>
      </c>
      <c r="D1051" t="s">
        <v>20</v>
      </c>
      <c r="E1051" t="s">
        <v>53</v>
      </c>
      <c r="F1051" t="s">
        <v>54</v>
      </c>
      <c r="G1051" t="s">
        <v>54</v>
      </c>
      <c r="H1051" t="s">
        <v>54</v>
      </c>
      <c r="J1051" t="s">
        <v>547</v>
      </c>
      <c r="K1051" t="s">
        <v>220</v>
      </c>
      <c r="O1051">
        <v>4</v>
      </c>
      <c r="P1051">
        <f>COUNTIFS(keyword_comparison[record_identifier],keyword_comparison[[#This Row],[record_identifier]],keyword_comparison[Review],"&lt;&gt;")</f>
        <v>0</v>
      </c>
      <c r="Q1051" cm="1">
        <f t="array" ref="Q1051">SUMPRODUCT((keyword_comparison[record_identifier]=keyword_comparison[[#This Row],[record_identifier]])*(LEN(keyword_comparison[keyword_matcher_output])&gt;0))</f>
        <v>0</v>
      </c>
    </row>
    <row r="1052" spans="1:17" x14ac:dyDescent="0.25">
      <c r="A1052" t="s">
        <v>859</v>
      </c>
      <c r="B1052" t="s">
        <v>860</v>
      </c>
      <c r="C1052" t="s">
        <v>861</v>
      </c>
      <c r="D1052" t="s">
        <v>20</v>
      </c>
      <c r="E1052" t="s">
        <v>53</v>
      </c>
      <c r="F1052" t="s">
        <v>54</v>
      </c>
      <c r="G1052" t="s">
        <v>54</v>
      </c>
      <c r="H1052" t="s">
        <v>54</v>
      </c>
      <c r="J1052" t="s">
        <v>207</v>
      </c>
      <c r="K1052" t="s">
        <v>208</v>
      </c>
      <c r="O1052">
        <v>5</v>
      </c>
      <c r="P1052">
        <f>COUNTIFS(keyword_comparison[record_identifier],keyword_comparison[[#This Row],[record_identifier]],keyword_comparison[Review],"&lt;&gt;")</f>
        <v>0</v>
      </c>
      <c r="Q1052" cm="1">
        <f t="array" ref="Q1052">SUMPRODUCT((keyword_comparison[record_identifier]=keyword_comparison[[#This Row],[record_identifier]])*(LEN(keyword_comparison[keyword_matcher_output])&gt;0))</f>
        <v>0</v>
      </c>
    </row>
    <row r="1053" spans="1:17" x14ac:dyDescent="0.25">
      <c r="A1053" t="s">
        <v>859</v>
      </c>
      <c r="B1053" t="s">
        <v>860</v>
      </c>
      <c r="C1053" t="s">
        <v>861</v>
      </c>
      <c r="D1053" t="s">
        <v>20</v>
      </c>
      <c r="E1053" t="s">
        <v>53</v>
      </c>
      <c r="F1053" t="s">
        <v>54</v>
      </c>
      <c r="G1053" t="s">
        <v>54</v>
      </c>
      <c r="H1053" t="s">
        <v>54</v>
      </c>
      <c r="J1053" t="s">
        <v>136</v>
      </c>
      <c r="K1053" t="s">
        <v>137</v>
      </c>
      <c r="O1053">
        <v>6</v>
      </c>
      <c r="P1053">
        <f>COUNTIFS(keyword_comparison[record_identifier],keyword_comparison[[#This Row],[record_identifier]],keyword_comparison[Review],"&lt;&gt;")</f>
        <v>0</v>
      </c>
      <c r="Q1053" cm="1">
        <f t="array" ref="Q1053">SUMPRODUCT((keyword_comparison[record_identifier]=keyword_comparison[[#This Row],[record_identifier]])*(LEN(keyword_comparison[keyword_matcher_output])&gt;0))</f>
        <v>0</v>
      </c>
    </row>
    <row r="1054" spans="1:17" x14ac:dyDescent="0.25">
      <c r="A1054" t="s">
        <v>859</v>
      </c>
      <c r="B1054" t="s">
        <v>860</v>
      </c>
      <c r="C1054" t="s">
        <v>861</v>
      </c>
      <c r="D1054" t="s">
        <v>20</v>
      </c>
      <c r="E1054" t="s">
        <v>53</v>
      </c>
      <c r="F1054" t="s">
        <v>54</v>
      </c>
      <c r="G1054" t="s">
        <v>54</v>
      </c>
      <c r="H1054" t="s">
        <v>54</v>
      </c>
      <c r="J1054" t="s">
        <v>629</v>
      </c>
      <c r="K1054" t="s">
        <v>259</v>
      </c>
      <c r="O1054">
        <v>7</v>
      </c>
      <c r="P1054">
        <f>COUNTIFS(keyword_comparison[record_identifier],keyword_comparison[[#This Row],[record_identifier]],keyword_comparison[Review],"&lt;&gt;")</f>
        <v>0</v>
      </c>
      <c r="Q1054" cm="1">
        <f t="array" ref="Q1054">SUMPRODUCT((keyword_comparison[record_identifier]=keyword_comparison[[#This Row],[record_identifier]])*(LEN(keyword_comparison[keyword_matcher_output])&gt;0))</f>
        <v>0</v>
      </c>
    </row>
    <row r="1055" spans="1:17" x14ac:dyDescent="0.25">
      <c r="A1055" t="s">
        <v>859</v>
      </c>
      <c r="B1055" t="s">
        <v>860</v>
      </c>
      <c r="C1055" t="s">
        <v>861</v>
      </c>
      <c r="D1055" t="s">
        <v>20</v>
      </c>
      <c r="E1055" t="s">
        <v>53</v>
      </c>
      <c r="F1055" t="s">
        <v>54</v>
      </c>
      <c r="G1055" t="s">
        <v>54</v>
      </c>
      <c r="H1055" t="s">
        <v>54</v>
      </c>
      <c r="J1055" t="s">
        <v>204</v>
      </c>
      <c r="K1055" t="s">
        <v>205</v>
      </c>
      <c r="O1055">
        <v>8</v>
      </c>
      <c r="P1055">
        <f>COUNTIFS(keyword_comparison[record_identifier],keyword_comparison[[#This Row],[record_identifier]],keyword_comparison[Review],"&lt;&gt;")</f>
        <v>0</v>
      </c>
      <c r="Q1055" cm="1">
        <f t="array" ref="Q1055">SUMPRODUCT((keyword_comparison[record_identifier]=keyword_comparison[[#This Row],[record_identifier]])*(LEN(keyword_comparison[keyword_matcher_output])&gt;0))</f>
        <v>0</v>
      </c>
    </row>
    <row r="1056" spans="1:17" x14ac:dyDescent="0.25">
      <c r="A1056" t="s">
        <v>859</v>
      </c>
      <c r="B1056" t="s">
        <v>860</v>
      </c>
      <c r="C1056" t="s">
        <v>861</v>
      </c>
      <c r="D1056" t="s">
        <v>20</v>
      </c>
      <c r="E1056" t="s">
        <v>53</v>
      </c>
      <c r="F1056" t="s">
        <v>54</v>
      </c>
      <c r="G1056" t="s">
        <v>54</v>
      </c>
      <c r="H1056" t="s">
        <v>54</v>
      </c>
      <c r="J1056" t="s">
        <v>567</v>
      </c>
      <c r="K1056" t="s">
        <v>568</v>
      </c>
      <c r="O1056">
        <v>9</v>
      </c>
      <c r="P1056">
        <f>COUNTIFS(keyword_comparison[record_identifier],keyword_comparison[[#This Row],[record_identifier]],keyword_comparison[Review],"&lt;&gt;")</f>
        <v>0</v>
      </c>
      <c r="Q1056" cm="1">
        <f t="array" ref="Q1056">SUMPRODUCT((keyword_comparison[record_identifier]=keyword_comparison[[#This Row],[record_identifier]])*(LEN(keyword_comparison[keyword_matcher_output])&gt;0))</f>
        <v>0</v>
      </c>
    </row>
    <row r="1057" spans="1:17" x14ac:dyDescent="0.25">
      <c r="A1057" t="s">
        <v>859</v>
      </c>
      <c r="B1057" t="s">
        <v>860</v>
      </c>
      <c r="C1057" t="s">
        <v>861</v>
      </c>
      <c r="D1057" t="s">
        <v>20</v>
      </c>
      <c r="E1057" t="s">
        <v>53</v>
      </c>
      <c r="F1057" t="s">
        <v>54</v>
      </c>
      <c r="G1057" t="s">
        <v>54</v>
      </c>
      <c r="H1057" t="s">
        <v>54</v>
      </c>
      <c r="J1057" t="s">
        <v>545</v>
      </c>
      <c r="K1057" t="s">
        <v>546</v>
      </c>
      <c r="O1057">
        <v>10</v>
      </c>
      <c r="P1057">
        <f>COUNTIFS(keyword_comparison[record_identifier],keyword_comparison[[#This Row],[record_identifier]],keyword_comparison[Review],"&lt;&gt;")</f>
        <v>0</v>
      </c>
      <c r="Q1057" cm="1">
        <f t="array" ref="Q1057">SUMPRODUCT((keyword_comparison[record_identifier]=keyword_comparison[[#This Row],[record_identifier]])*(LEN(keyword_comparison[keyword_matcher_output])&gt;0))</f>
        <v>0</v>
      </c>
    </row>
    <row r="1058" spans="1:17" x14ac:dyDescent="0.25">
      <c r="A1058" t="s">
        <v>862</v>
      </c>
      <c r="B1058" t="s">
        <v>863</v>
      </c>
      <c r="C1058" t="s">
        <v>864</v>
      </c>
      <c r="D1058" t="s">
        <v>20</v>
      </c>
      <c r="E1058" t="s">
        <v>21</v>
      </c>
      <c r="F1058" t="s">
        <v>865</v>
      </c>
      <c r="G1058" t="s">
        <v>72</v>
      </c>
      <c r="H1058" t="s">
        <v>54</v>
      </c>
      <c r="P1058">
        <f>COUNTIFS(keyword_comparison[record_identifier],keyword_comparison[[#This Row],[record_identifier]],keyword_comparison[Review],"&lt;&gt;")</f>
        <v>0</v>
      </c>
      <c r="Q1058" cm="1">
        <f t="array" ref="Q1058">SUMPRODUCT((keyword_comparison[record_identifier]=keyword_comparison[[#This Row],[record_identifier]])*(LEN(keyword_comparison[keyword_matcher_output])&gt;0))</f>
        <v>0</v>
      </c>
    </row>
    <row r="1059" spans="1:17" x14ac:dyDescent="0.25">
      <c r="A1059" t="s">
        <v>862</v>
      </c>
      <c r="B1059" t="s">
        <v>863</v>
      </c>
      <c r="C1059" t="s">
        <v>864</v>
      </c>
      <c r="D1059" t="s">
        <v>20</v>
      </c>
      <c r="E1059" t="s">
        <v>21</v>
      </c>
      <c r="F1059" t="s">
        <v>866</v>
      </c>
      <c r="G1059" t="s">
        <v>23</v>
      </c>
      <c r="H1059" t="s">
        <v>54</v>
      </c>
      <c r="P1059">
        <f>COUNTIFS(keyword_comparison[record_identifier],keyword_comparison[[#This Row],[record_identifier]],keyword_comparison[Review],"&lt;&gt;")</f>
        <v>0</v>
      </c>
      <c r="Q1059" cm="1">
        <f t="array" ref="Q1059">SUMPRODUCT((keyword_comparison[record_identifier]=keyword_comparison[[#This Row],[record_identifier]])*(LEN(keyword_comparison[keyword_matcher_output])&gt;0))</f>
        <v>0</v>
      </c>
    </row>
    <row r="1060" spans="1:17" x14ac:dyDescent="0.25">
      <c r="A1060" t="s">
        <v>862</v>
      </c>
      <c r="B1060" t="s">
        <v>863</v>
      </c>
      <c r="C1060" t="s">
        <v>864</v>
      </c>
      <c r="D1060" t="s">
        <v>20</v>
      </c>
      <c r="E1060" t="s">
        <v>21</v>
      </c>
      <c r="F1060" t="s">
        <v>867</v>
      </c>
      <c r="G1060" t="s">
        <v>23</v>
      </c>
      <c r="H1060" t="s">
        <v>54</v>
      </c>
      <c r="P1060">
        <f>COUNTIFS(keyword_comparison[record_identifier],keyword_comparison[[#This Row],[record_identifier]],keyword_comparison[Review],"&lt;&gt;")</f>
        <v>0</v>
      </c>
      <c r="Q1060" cm="1">
        <f t="array" ref="Q1060">SUMPRODUCT((keyword_comparison[record_identifier]=keyword_comparison[[#This Row],[record_identifier]])*(LEN(keyword_comparison[keyword_matcher_output])&gt;0))</f>
        <v>0</v>
      </c>
    </row>
    <row r="1061" spans="1:17" x14ac:dyDescent="0.25">
      <c r="A1061" t="s">
        <v>862</v>
      </c>
      <c r="B1061" t="s">
        <v>863</v>
      </c>
      <c r="C1061" t="s">
        <v>864</v>
      </c>
      <c r="D1061" t="s">
        <v>20</v>
      </c>
      <c r="E1061" t="s">
        <v>21</v>
      </c>
      <c r="F1061" t="s">
        <v>868</v>
      </c>
      <c r="G1061" t="s">
        <v>23</v>
      </c>
      <c r="H1061" t="s">
        <v>54</v>
      </c>
      <c r="P1061">
        <f>COUNTIFS(keyword_comparison[record_identifier],keyword_comparison[[#This Row],[record_identifier]],keyword_comparison[Review],"&lt;&gt;")</f>
        <v>0</v>
      </c>
      <c r="Q1061" cm="1">
        <f t="array" ref="Q1061">SUMPRODUCT((keyword_comparison[record_identifier]=keyword_comparison[[#This Row],[record_identifier]])*(LEN(keyword_comparison[keyword_matcher_output])&gt;0))</f>
        <v>0</v>
      </c>
    </row>
    <row r="1062" spans="1:17" x14ac:dyDescent="0.25">
      <c r="A1062" t="s">
        <v>862</v>
      </c>
      <c r="B1062" t="s">
        <v>863</v>
      </c>
      <c r="C1062" t="s">
        <v>864</v>
      </c>
      <c r="D1062" t="s">
        <v>20</v>
      </c>
      <c r="E1062" t="s">
        <v>21</v>
      </c>
      <c r="F1062" t="s">
        <v>869</v>
      </c>
      <c r="G1062" t="s">
        <v>23</v>
      </c>
      <c r="H1062" t="s">
        <v>54</v>
      </c>
      <c r="P1062">
        <f>COUNTIFS(keyword_comparison[record_identifier],keyword_comparison[[#This Row],[record_identifier]],keyword_comparison[Review],"&lt;&gt;")</f>
        <v>0</v>
      </c>
      <c r="Q1062" cm="1">
        <f t="array" ref="Q1062">SUMPRODUCT((keyword_comparison[record_identifier]=keyword_comparison[[#This Row],[record_identifier]])*(LEN(keyword_comparison[keyword_matcher_output])&gt;0))</f>
        <v>0</v>
      </c>
    </row>
    <row r="1063" spans="1:17" x14ac:dyDescent="0.25">
      <c r="A1063" t="s">
        <v>862</v>
      </c>
      <c r="B1063" t="s">
        <v>863</v>
      </c>
      <c r="C1063" t="s">
        <v>864</v>
      </c>
      <c r="D1063" t="s">
        <v>20</v>
      </c>
      <c r="E1063" t="s">
        <v>21</v>
      </c>
      <c r="F1063" t="s">
        <v>71</v>
      </c>
      <c r="G1063" t="s">
        <v>72</v>
      </c>
      <c r="H1063" t="s">
        <v>54</v>
      </c>
      <c r="P1063">
        <f>COUNTIFS(keyword_comparison[record_identifier],keyword_comparison[[#This Row],[record_identifier]],keyword_comparison[Review],"&lt;&gt;")</f>
        <v>0</v>
      </c>
      <c r="Q1063" cm="1">
        <f t="array" ref="Q1063">SUMPRODUCT((keyword_comparison[record_identifier]=keyword_comparison[[#This Row],[record_identifier]])*(LEN(keyword_comparison[keyword_matcher_output])&gt;0))</f>
        <v>0</v>
      </c>
    </row>
    <row r="1064" spans="1:17" x14ac:dyDescent="0.25">
      <c r="A1064" t="s">
        <v>862</v>
      </c>
      <c r="B1064" t="s">
        <v>863</v>
      </c>
      <c r="C1064" t="s">
        <v>864</v>
      </c>
      <c r="D1064" t="s">
        <v>20</v>
      </c>
      <c r="E1064" t="s">
        <v>21</v>
      </c>
      <c r="F1064" t="s">
        <v>216</v>
      </c>
      <c r="G1064" t="s">
        <v>72</v>
      </c>
      <c r="H1064" t="s">
        <v>54</v>
      </c>
      <c r="P1064">
        <f>COUNTIFS(keyword_comparison[record_identifier],keyword_comparison[[#This Row],[record_identifier]],keyword_comparison[Review],"&lt;&gt;")</f>
        <v>0</v>
      </c>
      <c r="Q1064" cm="1">
        <f t="array" ref="Q1064">SUMPRODUCT((keyword_comparison[record_identifier]=keyword_comparison[[#This Row],[record_identifier]])*(LEN(keyword_comparison[keyword_matcher_output])&gt;0))</f>
        <v>0</v>
      </c>
    </row>
    <row r="1065" spans="1:17" x14ac:dyDescent="0.25">
      <c r="A1065" t="s">
        <v>862</v>
      </c>
      <c r="B1065" t="s">
        <v>863</v>
      </c>
      <c r="C1065" t="s">
        <v>864</v>
      </c>
      <c r="D1065" t="s">
        <v>20</v>
      </c>
      <c r="E1065" t="s">
        <v>21</v>
      </c>
      <c r="F1065" t="s">
        <v>32</v>
      </c>
      <c r="G1065" t="s">
        <v>31</v>
      </c>
      <c r="H1065" t="s">
        <v>54</v>
      </c>
      <c r="P1065">
        <f>COUNTIFS(keyword_comparison[record_identifier],keyword_comparison[[#This Row],[record_identifier]],keyword_comparison[Review],"&lt;&gt;")</f>
        <v>0</v>
      </c>
      <c r="Q1065" cm="1">
        <f t="array" ref="Q1065">SUMPRODUCT((keyword_comparison[record_identifier]=keyword_comparison[[#This Row],[record_identifier]])*(LEN(keyword_comparison[keyword_matcher_output])&gt;0))</f>
        <v>0</v>
      </c>
    </row>
    <row r="1066" spans="1:17" x14ac:dyDescent="0.25">
      <c r="A1066" t="s">
        <v>862</v>
      </c>
      <c r="B1066" t="s">
        <v>863</v>
      </c>
      <c r="C1066" t="s">
        <v>864</v>
      </c>
      <c r="D1066" t="s">
        <v>20</v>
      </c>
      <c r="E1066" t="s">
        <v>21</v>
      </c>
      <c r="F1066" t="s">
        <v>69</v>
      </c>
      <c r="G1066" t="s">
        <v>31</v>
      </c>
      <c r="H1066" t="s">
        <v>54</v>
      </c>
      <c r="P1066">
        <f>COUNTIFS(keyword_comparison[record_identifier],keyword_comparison[[#This Row],[record_identifier]],keyword_comparison[Review],"&lt;&gt;")</f>
        <v>0</v>
      </c>
      <c r="Q1066" cm="1">
        <f t="array" ref="Q1066">SUMPRODUCT((keyword_comparison[record_identifier]=keyword_comparison[[#This Row],[record_identifier]])*(LEN(keyword_comparison[keyword_matcher_output])&gt;0))</f>
        <v>0</v>
      </c>
    </row>
    <row r="1067" spans="1:17" x14ac:dyDescent="0.25">
      <c r="A1067" t="s">
        <v>862</v>
      </c>
      <c r="B1067" t="s">
        <v>863</v>
      </c>
      <c r="C1067" t="s">
        <v>864</v>
      </c>
      <c r="D1067" t="s">
        <v>20</v>
      </c>
      <c r="E1067" t="s">
        <v>21</v>
      </c>
      <c r="F1067" t="s">
        <v>292</v>
      </c>
      <c r="G1067" t="s">
        <v>72</v>
      </c>
      <c r="H1067" t="s">
        <v>54</v>
      </c>
      <c r="P1067">
        <f>COUNTIFS(keyword_comparison[record_identifier],keyword_comparison[[#This Row],[record_identifier]],keyword_comparison[Review],"&lt;&gt;")</f>
        <v>0</v>
      </c>
      <c r="Q1067" cm="1">
        <f t="array" ref="Q1067">SUMPRODUCT((keyword_comparison[record_identifier]=keyword_comparison[[#This Row],[record_identifier]])*(LEN(keyword_comparison[keyword_matcher_output])&gt;0))</f>
        <v>0</v>
      </c>
    </row>
    <row r="1068" spans="1:17" x14ac:dyDescent="0.25">
      <c r="A1068" t="s">
        <v>862</v>
      </c>
      <c r="B1068" t="s">
        <v>863</v>
      </c>
      <c r="C1068" t="s">
        <v>864</v>
      </c>
      <c r="D1068" t="s">
        <v>20</v>
      </c>
      <c r="E1068" t="s">
        <v>21</v>
      </c>
      <c r="F1068" t="s">
        <v>74</v>
      </c>
      <c r="G1068" t="s">
        <v>72</v>
      </c>
      <c r="H1068" t="s">
        <v>54</v>
      </c>
      <c r="P1068">
        <f>COUNTIFS(keyword_comparison[record_identifier],keyword_comparison[[#This Row],[record_identifier]],keyword_comparison[Review],"&lt;&gt;")</f>
        <v>0</v>
      </c>
      <c r="Q1068" cm="1">
        <f t="array" ref="Q1068">SUMPRODUCT((keyword_comparison[record_identifier]=keyword_comparison[[#This Row],[record_identifier]])*(LEN(keyword_comparison[keyword_matcher_output])&gt;0))</f>
        <v>0</v>
      </c>
    </row>
    <row r="1069" spans="1:17" x14ac:dyDescent="0.25">
      <c r="A1069" t="s">
        <v>862</v>
      </c>
      <c r="B1069" t="s">
        <v>863</v>
      </c>
      <c r="C1069" t="s">
        <v>864</v>
      </c>
      <c r="D1069" t="s">
        <v>20</v>
      </c>
      <c r="E1069" t="s">
        <v>21</v>
      </c>
      <c r="F1069" t="s">
        <v>30</v>
      </c>
      <c r="G1069" t="s">
        <v>31</v>
      </c>
      <c r="H1069" t="s">
        <v>54</v>
      </c>
      <c r="P1069">
        <f>COUNTIFS(keyword_comparison[record_identifier],keyword_comparison[[#This Row],[record_identifier]],keyword_comparison[Review],"&lt;&gt;")</f>
        <v>0</v>
      </c>
      <c r="Q1069" cm="1">
        <f t="array" ref="Q1069">SUMPRODUCT((keyword_comparison[record_identifier]=keyword_comparison[[#This Row],[record_identifier]])*(LEN(keyword_comparison[keyword_matcher_output])&gt;0))</f>
        <v>0</v>
      </c>
    </row>
    <row r="1070" spans="1:17" x14ac:dyDescent="0.25">
      <c r="A1070" t="s">
        <v>862</v>
      </c>
      <c r="B1070" t="s">
        <v>863</v>
      </c>
      <c r="C1070" t="s">
        <v>864</v>
      </c>
      <c r="D1070" t="s">
        <v>20</v>
      </c>
      <c r="E1070" t="s">
        <v>21</v>
      </c>
      <c r="F1070" t="s">
        <v>70</v>
      </c>
      <c r="G1070" t="s">
        <v>31</v>
      </c>
      <c r="H1070" t="s">
        <v>54</v>
      </c>
      <c r="P1070">
        <f>COUNTIFS(keyword_comparison[record_identifier],keyword_comparison[[#This Row],[record_identifier]],keyword_comparison[Review],"&lt;&gt;")</f>
        <v>0</v>
      </c>
      <c r="Q1070" cm="1">
        <f t="array" ref="Q1070">SUMPRODUCT((keyword_comparison[record_identifier]=keyword_comparison[[#This Row],[record_identifier]])*(LEN(keyword_comparison[keyword_matcher_output])&gt;0))</f>
        <v>0</v>
      </c>
    </row>
    <row r="1071" spans="1:17" x14ac:dyDescent="0.25">
      <c r="A1071" t="s">
        <v>862</v>
      </c>
      <c r="B1071" t="s">
        <v>863</v>
      </c>
      <c r="C1071" t="s">
        <v>864</v>
      </c>
      <c r="D1071" t="s">
        <v>20</v>
      </c>
      <c r="E1071" t="s">
        <v>21</v>
      </c>
      <c r="F1071" s="5" t="s">
        <v>870</v>
      </c>
      <c r="G1071" t="s">
        <v>23</v>
      </c>
      <c r="H1071" t="s">
        <v>54</v>
      </c>
      <c r="P1071">
        <f>COUNTIFS(keyword_comparison[record_identifier],keyword_comparison[[#This Row],[record_identifier]],keyword_comparison[Review],"&lt;&gt;")</f>
        <v>0</v>
      </c>
      <c r="Q1071" cm="1">
        <f t="array" ref="Q1071">SUMPRODUCT((keyword_comparison[record_identifier]=keyword_comparison[[#This Row],[record_identifier]])*(LEN(keyword_comparison[keyword_matcher_output])&gt;0))</f>
        <v>0</v>
      </c>
    </row>
    <row r="1072" spans="1:17" x14ac:dyDescent="0.25">
      <c r="A1072" t="s">
        <v>862</v>
      </c>
      <c r="B1072" t="s">
        <v>863</v>
      </c>
      <c r="C1072" t="s">
        <v>864</v>
      </c>
      <c r="D1072" t="s">
        <v>20</v>
      </c>
      <c r="E1072" t="s">
        <v>33</v>
      </c>
      <c r="H1072" t="s">
        <v>54</v>
      </c>
      <c r="J1072" t="s">
        <v>716</v>
      </c>
      <c r="K1072" t="s">
        <v>43</v>
      </c>
      <c r="M1072">
        <v>0.1358</v>
      </c>
      <c r="N1072">
        <v>1</v>
      </c>
      <c r="P1072">
        <f>COUNTIFS(keyword_comparison[record_identifier],keyword_comparison[[#This Row],[record_identifier]],keyword_comparison[Review],"&lt;&gt;")</f>
        <v>0</v>
      </c>
      <c r="Q1072" cm="1">
        <f t="array" ref="Q1072">SUMPRODUCT((keyword_comparison[record_identifier]=keyword_comparison[[#This Row],[record_identifier]])*(LEN(keyword_comparison[keyword_matcher_output])&gt;0))</f>
        <v>0</v>
      </c>
    </row>
    <row r="1073" spans="1:17" x14ac:dyDescent="0.25">
      <c r="A1073" t="s">
        <v>862</v>
      </c>
      <c r="B1073" t="s">
        <v>863</v>
      </c>
      <c r="C1073" t="s">
        <v>864</v>
      </c>
      <c r="D1073" t="s">
        <v>20</v>
      </c>
      <c r="E1073" t="s">
        <v>33</v>
      </c>
      <c r="H1073" t="s">
        <v>54</v>
      </c>
      <c r="J1073" t="s">
        <v>98</v>
      </c>
      <c r="K1073" t="s">
        <v>92</v>
      </c>
      <c r="M1073">
        <v>0.1114</v>
      </c>
      <c r="N1073">
        <v>2</v>
      </c>
      <c r="P1073">
        <f>COUNTIFS(keyword_comparison[record_identifier],keyword_comparison[[#This Row],[record_identifier]],keyword_comparison[Review],"&lt;&gt;")</f>
        <v>0</v>
      </c>
      <c r="Q1073" cm="1">
        <f t="array" ref="Q1073">SUMPRODUCT((keyword_comparison[record_identifier]=keyword_comparison[[#This Row],[record_identifier]])*(LEN(keyword_comparison[keyword_matcher_output])&gt;0))</f>
        <v>0</v>
      </c>
    </row>
    <row r="1074" spans="1:17" x14ac:dyDescent="0.25">
      <c r="A1074" t="s">
        <v>862</v>
      </c>
      <c r="B1074" t="s">
        <v>863</v>
      </c>
      <c r="C1074" t="s">
        <v>864</v>
      </c>
      <c r="D1074" t="s">
        <v>20</v>
      </c>
      <c r="E1074" t="s">
        <v>33</v>
      </c>
      <c r="H1074" t="s">
        <v>54</v>
      </c>
      <c r="J1074" t="s">
        <v>98</v>
      </c>
      <c r="K1074" t="s">
        <v>93</v>
      </c>
      <c r="M1074">
        <v>0.1114</v>
      </c>
      <c r="N1074">
        <v>3</v>
      </c>
      <c r="P1074">
        <f>COUNTIFS(keyword_comparison[record_identifier],keyword_comparison[[#This Row],[record_identifier]],keyword_comparison[Review],"&lt;&gt;")</f>
        <v>0</v>
      </c>
      <c r="Q1074" cm="1">
        <f t="array" ref="Q1074">SUMPRODUCT((keyword_comparison[record_identifier]=keyword_comparison[[#This Row],[record_identifier]])*(LEN(keyword_comparison[keyword_matcher_output])&gt;0))</f>
        <v>0</v>
      </c>
    </row>
    <row r="1075" spans="1:17" x14ac:dyDescent="0.25">
      <c r="A1075" t="s">
        <v>862</v>
      </c>
      <c r="B1075" t="s">
        <v>863</v>
      </c>
      <c r="C1075" t="s">
        <v>864</v>
      </c>
      <c r="D1075" t="s">
        <v>20</v>
      </c>
      <c r="E1075" t="s">
        <v>33</v>
      </c>
      <c r="H1075" t="s">
        <v>54</v>
      </c>
      <c r="J1075" t="s">
        <v>184</v>
      </c>
      <c r="K1075" t="s">
        <v>185</v>
      </c>
      <c r="M1075">
        <v>5.11E-2</v>
      </c>
      <c r="N1075">
        <v>4</v>
      </c>
      <c r="P1075">
        <f>COUNTIFS(keyword_comparison[record_identifier],keyword_comparison[[#This Row],[record_identifier]],keyword_comparison[Review],"&lt;&gt;")</f>
        <v>0</v>
      </c>
      <c r="Q1075" cm="1">
        <f t="array" ref="Q1075">SUMPRODUCT((keyword_comparison[record_identifier]=keyword_comparison[[#This Row],[record_identifier]])*(LEN(keyword_comparison[keyword_matcher_output])&gt;0))</f>
        <v>0</v>
      </c>
    </row>
    <row r="1076" spans="1:17" x14ac:dyDescent="0.25">
      <c r="A1076" t="s">
        <v>862</v>
      </c>
      <c r="B1076" t="s">
        <v>863</v>
      </c>
      <c r="C1076" t="s">
        <v>864</v>
      </c>
      <c r="D1076" t="s">
        <v>20</v>
      </c>
      <c r="E1076" t="s">
        <v>48</v>
      </c>
      <c r="H1076" t="s">
        <v>54</v>
      </c>
      <c r="J1076" t="s">
        <v>871</v>
      </c>
      <c r="K1076" t="s">
        <v>102</v>
      </c>
      <c r="P1076">
        <f>COUNTIFS(keyword_comparison[record_identifier],keyword_comparison[[#This Row],[record_identifier]],keyword_comparison[Review],"&lt;&gt;")</f>
        <v>0</v>
      </c>
      <c r="Q1076" cm="1">
        <f t="array" ref="Q1076">SUMPRODUCT((keyword_comparison[record_identifier]=keyword_comparison[[#This Row],[record_identifier]])*(LEN(keyword_comparison[keyword_matcher_output])&gt;0))</f>
        <v>0</v>
      </c>
    </row>
    <row r="1077" spans="1:17" x14ac:dyDescent="0.25">
      <c r="A1077" t="s">
        <v>862</v>
      </c>
      <c r="B1077" t="s">
        <v>863</v>
      </c>
      <c r="C1077" t="s">
        <v>864</v>
      </c>
      <c r="D1077" t="s">
        <v>20</v>
      </c>
      <c r="E1077" t="s">
        <v>48</v>
      </c>
      <c r="H1077" t="s">
        <v>54</v>
      </c>
      <c r="J1077" t="s">
        <v>844</v>
      </c>
      <c r="K1077" t="s">
        <v>845</v>
      </c>
      <c r="P1077">
        <f>COUNTIFS(keyword_comparison[record_identifier],keyword_comparison[[#This Row],[record_identifier]],keyword_comparison[Review],"&lt;&gt;")</f>
        <v>0</v>
      </c>
      <c r="Q1077" cm="1">
        <f t="array" ref="Q1077">SUMPRODUCT((keyword_comparison[record_identifier]=keyword_comparison[[#This Row],[record_identifier]])*(LEN(keyword_comparison[keyword_matcher_output])&gt;0))</f>
        <v>0</v>
      </c>
    </row>
    <row r="1078" spans="1:17" x14ac:dyDescent="0.25">
      <c r="A1078" t="s">
        <v>862</v>
      </c>
      <c r="B1078" t="s">
        <v>863</v>
      </c>
      <c r="C1078" t="s">
        <v>864</v>
      </c>
      <c r="D1078" t="s">
        <v>20</v>
      </c>
      <c r="E1078" t="s">
        <v>48</v>
      </c>
      <c r="H1078" t="s">
        <v>54</v>
      </c>
      <c r="J1078" t="s">
        <v>34</v>
      </c>
      <c r="K1078" t="s">
        <v>35</v>
      </c>
      <c r="P1078">
        <f>COUNTIFS(keyword_comparison[record_identifier],keyword_comparison[[#This Row],[record_identifier]],keyword_comparison[Review],"&lt;&gt;")</f>
        <v>0</v>
      </c>
      <c r="Q1078" cm="1">
        <f t="array" ref="Q1078">SUMPRODUCT((keyword_comparison[record_identifier]=keyword_comparison[[#This Row],[record_identifier]])*(LEN(keyword_comparison[keyword_matcher_output])&gt;0))</f>
        <v>0</v>
      </c>
    </row>
    <row r="1079" spans="1:17" x14ac:dyDescent="0.25">
      <c r="A1079" t="s">
        <v>862</v>
      </c>
      <c r="B1079" t="s">
        <v>863</v>
      </c>
      <c r="C1079" t="s">
        <v>864</v>
      </c>
      <c r="D1079" t="s">
        <v>20</v>
      </c>
      <c r="E1079" t="s">
        <v>48</v>
      </c>
      <c r="H1079" t="s">
        <v>54</v>
      </c>
      <c r="J1079" t="s">
        <v>441</v>
      </c>
      <c r="K1079" t="s">
        <v>442</v>
      </c>
      <c r="P1079">
        <f>COUNTIFS(keyword_comparison[record_identifier],keyword_comparison[[#This Row],[record_identifier]],keyword_comparison[Review],"&lt;&gt;")</f>
        <v>0</v>
      </c>
      <c r="Q1079" cm="1">
        <f t="array" ref="Q1079">SUMPRODUCT((keyword_comparison[record_identifier]=keyword_comparison[[#This Row],[record_identifier]])*(LEN(keyword_comparison[keyword_matcher_output])&gt;0))</f>
        <v>0</v>
      </c>
    </row>
    <row r="1080" spans="1:17" x14ac:dyDescent="0.25">
      <c r="A1080" t="s">
        <v>862</v>
      </c>
      <c r="B1080" t="s">
        <v>863</v>
      </c>
      <c r="C1080" t="s">
        <v>864</v>
      </c>
      <c r="D1080" t="s">
        <v>20</v>
      </c>
      <c r="E1080" t="s">
        <v>48</v>
      </c>
      <c r="H1080" t="s">
        <v>54</v>
      </c>
      <c r="J1080" t="s">
        <v>84</v>
      </c>
      <c r="K1080" t="s">
        <v>85</v>
      </c>
      <c r="P1080">
        <f>COUNTIFS(keyword_comparison[record_identifier],keyword_comparison[[#This Row],[record_identifier]],keyword_comparison[Review],"&lt;&gt;")</f>
        <v>0</v>
      </c>
      <c r="Q1080" cm="1">
        <f t="array" ref="Q1080">SUMPRODUCT((keyword_comparison[record_identifier]=keyword_comparison[[#This Row],[record_identifier]])*(LEN(keyword_comparison[keyword_matcher_output])&gt;0))</f>
        <v>0</v>
      </c>
    </row>
    <row r="1081" spans="1:17" x14ac:dyDescent="0.25">
      <c r="A1081" t="s">
        <v>862</v>
      </c>
      <c r="B1081" t="s">
        <v>863</v>
      </c>
      <c r="C1081" t="s">
        <v>864</v>
      </c>
      <c r="D1081" t="s">
        <v>20</v>
      </c>
      <c r="E1081" t="s">
        <v>53</v>
      </c>
      <c r="F1081" t="s">
        <v>54</v>
      </c>
      <c r="G1081" t="s">
        <v>54</v>
      </c>
      <c r="H1081" t="s">
        <v>54</v>
      </c>
      <c r="J1081" t="s">
        <v>34</v>
      </c>
      <c r="K1081" t="s">
        <v>35</v>
      </c>
      <c r="O1081">
        <v>1</v>
      </c>
      <c r="P1081">
        <f>COUNTIFS(keyword_comparison[record_identifier],keyword_comparison[[#This Row],[record_identifier]],keyword_comparison[Review],"&lt;&gt;")</f>
        <v>0</v>
      </c>
      <c r="Q1081" cm="1">
        <f t="array" ref="Q1081">SUMPRODUCT((keyword_comparison[record_identifier]=keyword_comparison[[#This Row],[record_identifier]])*(LEN(keyword_comparison[keyword_matcher_output])&gt;0))</f>
        <v>0</v>
      </c>
    </row>
    <row r="1082" spans="1:17" x14ac:dyDescent="0.25">
      <c r="A1082" t="s">
        <v>862</v>
      </c>
      <c r="B1082" t="s">
        <v>863</v>
      </c>
      <c r="C1082" t="s">
        <v>864</v>
      </c>
      <c r="D1082" t="s">
        <v>20</v>
      </c>
      <c r="E1082" t="s">
        <v>53</v>
      </c>
      <c r="F1082" t="s">
        <v>54</v>
      </c>
      <c r="G1082" t="s">
        <v>54</v>
      </c>
      <c r="H1082" t="s">
        <v>54</v>
      </c>
      <c r="J1082" t="s">
        <v>550</v>
      </c>
      <c r="K1082" t="s">
        <v>551</v>
      </c>
      <c r="O1082">
        <v>2</v>
      </c>
      <c r="P1082">
        <f>COUNTIFS(keyword_comparison[record_identifier],keyword_comparison[[#This Row],[record_identifier]],keyword_comparison[Review],"&lt;&gt;")</f>
        <v>0</v>
      </c>
      <c r="Q1082" cm="1">
        <f t="array" ref="Q1082">SUMPRODUCT((keyword_comparison[record_identifier]=keyword_comparison[[#This Row],[record_identifier]])*(LEN(keyword_comparison[keyword_matcher_output])&gt;0))</f>
        <v>0</v>
      </c>
    </row>
    <row r="1083" spans="1:17" x14ac:dyDescent="0.25">
      <c r="A1083" t="s">
        <v>862</v>
      </c>
      <c r="B1083" t="s">
        <v>863</v>
      </c>
      <c r="C1083" t="s">
        <v>864</v>
      </c>
      <c r="D1083" t="s">
        <v>20</v>
      </c>
      <c r="E1083" t="s">
        <v>53</v>
      </c>
      <c r="F1083" t="s">
        <v>54</v>
      </c>
      <c r="G1083" t="s">
        <v>54</v>
      </c>
      <c r="H1083" t="s">
        <v>54</v>
      </c>
      <c r="J1083" t="s">
        <v>844</v>
      </c>
      <c r="K1083" t="s">
        <v>845</v>
      </c>
      <c r="O1083">
        <v>3</v>
      </c>
      <c r="P1083">
        <f>COUNTIFS(keyword_comparison[record_identifier],keyword_comparison[[#This Row],[record_identifier]],keyword_comparison[Review],"&lt;&gt;")</f>
        <v>0</v>
      </c>
      <c r="Q1083" cm="1">
        <f t="array" ref="Q1083">SUMPRODUCT((keyword_comparison[record_identifier]=keyword_comparison[[#This Row],[record_identifier]])*(LEN(keyword_comparison[keyword_matcher_output])&gt;0))</f>
        <v>0</v>
      </c>
    </row>
    <row r="1084" spans="1:17" x14ac:dyDescent="0.25">
      <c r="A1084" t="s">
        <v>862</v>
      </c>
      <c r="B1084" t="s">
        <v>863</v>
      </c>
      <c r="C1084" t="s">
        <v>864</v>
      </c>
      <c r="D1084" t="s">
        <v>20</v>
      </c>
      <c r="E1084" t="s">
        <v>53</v>
      </c>
      <c r="F1084" t="s">
        <v>54</v>
      </c>
      <c r="G1084" t="s">
        <v>54</v>
      </c>
      <c r="H1084" t="s">
        <v>54</v>
      </c>
      <c r="J1084" t="s">
        <v>871</v>
      </c>
      <c r="K1084" t="s">
        <v>102</v>
      </c>
      <c r="O1084">
        <v>4</v>
      </c>
      <c r="P1084">
        <f>COUNTIFS(keyword_comparison[record_identifier],keyword_comparison[[#This Row],[record_identifier]],keyword_comparison[Review],"&lt;&gt;")</f>
        <v>0</v>
      </c>
      <c r="Q1084" cm="1">
        <f t="array" ref="Q1084">SUMPRODUCT((keyword_comparison[record_identifier]=keyword_comparison[[#This Row],[record_identifier]])*(LEN(keyword_comparison[keyword_matcher_output])&gt;0))</f>
        <v>0</v>
      </c>
    </row>
    <row r="1085" spans="1:17" x14ac:dyDescent="0.25">
      <c r="A1085" t="s">
        <v>862</v>
      </c>
      <c r="B1085" t="s">
        <v>863</v>
      </c>
      <c r="C1085" t="s">
        <v>864</v>
      </c>
      <c r="D1085" t="s">
        <v>20</v>
      </c>
      <c r="E1085" t="s">
        <v>53</v>
      </c>
      <c r="F1085" t="s">
        <v>54</v>
      </c>
      <c r="G1085" t="s">
        <v>54</v>
      </c>
      <c r="H1085" t="s">
        <v>54</v>
      </c>
      <c r="J1085" t="s">
        <v>824</v>
      </c>
      <c r="K1085" t="s">
        <v>825</v>
      </c>
      <c r="O1085">
        <v>6</v>
      </c>
      <c r="P1085">
        <f>COUNTIFS(keyword_comparison[record_identifier],keyword_comparison[[#This Row],[record_identifier]],keyword_comparison[Review],"&lt;&gt;")</f>
        <v>0</v>
      </c>
      <c r="Q1085" cm="1">
        <f t="array" ref="Q1085">SUMPRODUCT((keyword_comparison[record_identifier]=keyword_comparison[[#This Row],[record_identifier]])*(LEN(keyword_comparison[keyword_matcher_output])&gt;0))</f>
        <v>0</v>
      </c>
    </row>
    <row r="1086" spans="1:17" x14ac:dyDescent="0.25">
      <c r="A1086" t="s">
        <v>862</v>
      </c>
      <c r="B1086" t="s">
        <v>863</v>
      </c>
      <c r="C1086" t="s">
        <v>864</v>
      </c>
      <c r="D1086" t="s">
        <v>20</v>
      </c>
      <c r="E1086" t="s">
        <v>53</v>
      </c>
      <c r="F1086" t="s">
        <v>54</v>
      </c>
      <c r="G1086" t="s">
        <v>54</v>
      </c>
      <c r="H1086" t="s">
        <v>54</v>
      </c>
      <c r="J1086" t="s">
        <v>42</v>
      </c>
      <c r="K1086" t="s">
        <v>43</v>
      </c>
      <c r="O1086">
        <v>7</v>
      </c>
      <c r="P1086">
        <f>COUNTIFS(keyword_comparison[record_identifier],keyword_comparison[[#This Row],[record_identifier]],keyword_comparison[Review],"&lt;&gt;")</f>
        <v>0</v>
      </c>
      <c r="Q1086" cm="1">
        <f t="array" ref="Q1086">SUMPRODUCT((keyword_comparison[record_identifier]=keyword_comparison[[#This Row],[record_identifier]])*(LEN(keyword_comparison[keyword_matcher_output])&gt;0))</f>
        <v>0</v>
      </c>
    </row>
    <row r="1087" spans="1:17" x14ac:dyDescent="0.25">
      <c r="A1087" t="s">
        <v>862</v>
      </c>
      <c r="B1087" t="s">
        <v>863</v>
      </c>
      <c r="C1087" t="s">
        <v>864</v>
      </c>
      <c r="D1087" t="s">
        <v>20</v>
      </c>
      <c r="E1087" t="s">
        <v>53</v>
      </c>
      <c r="F1087" t="s">
        <v>54</v>
      </c>
      <c r="G1087" t="s">
        <v>54</v>
      </c>
      <c r="H1087" t="s">
        <v>54</v>
      </c>
      <c r="J1087" t="s">
        <v>421</v>
      </c>
      <c r="K1087" t="s">
        <v>422</v>
      </c>
      <c r="O1087">
        <v>8</v>
      </c>
      <c r="P1087">
        <f>COUNTIFS(keyword_comparison[record_identifier],keyword_comparison[[#This Row],[record_identifier]],keyword_comparison[Review],"&lt;&gt;")</f>
        <v>0</v>
      </c>
      <c r="Q1087" cm="1">
        <f t="array" ref="Q1087">SUMPRODUCT((keyword_comparison[record_identifier]=keyword_comparison[[#This Row],[record_identifier]])*(LEN(keyword_comparison[keyword_matcher_output])&gt;0))</f>
        <v>0</v>
      </c>
    </row>
    <row r="1088" spans="1:17" x14ac:dyDescent="0.25">
      <c r="A1088" t="s">
        <v>862</v>
      </c>
      <c r="B1088" t="s">
        <v>863</v>
      </c>
      <c r="C1088" t="s">
        <v>864</v>
      </c>
      <c r="D1088" t="s">
        <v>20</v>
      </c>
      <c r="E1088" t="s">
        <v>53</v>
      </c>
      <c r="F1088" t="s">
        <v>54</v>
      </c>
      <c r="G1088" t="s">
        <v>54</v>
      </c>
      <c r="H1088" t="s">
        <v>54</v>
      </c>
      <c r="J1088" t="s">
        <v>651</v>
      </c>
      <c r="K1088" t="s">
        <v>652</v>
      </c>
      <c r="O1088">
        <v>9</v>
      </c>
      <c r="P1088">
        <f>COUNTIFS(keyword_comparison[record_identifier],keyword_comparison[[#This Row],[record_identifier]],keyword_comparison[Review],"&lt;&gt;")</f>
        <v>0</v>
      </c>
      <c r="Q1088" cm="1">
        <f t="array" ref="Q1088">SUMPRODUCT((keyword_comparison[record_identifier]=keyword_comparison[[#This Row],[record_identifier]])*(LEN(keyword_comparison[keyword_matcher_output])&gt;0))</f>
        <v>0</v>
      </c>
    </row>
    <row r="1089" spans="1:17" x14ac:dyDescent="0.25">
      <c r="A1089" t="s">
        <v>862</v>
      </c>
      <c r="B1089" t="s">
        <v>863</v>
      </c>
      <c r="C1089" t="s">
        <v>864</v>
      </c>
      <c r="D1089" t="s">
        <v>20</v>
      </c>
      <c r="E1089" t="s">
        <v>53</v>
      </c>
      <c r="F1089" t="s">
        <v>54</v>
      </c>
      <c r="G1089" t="s">
        <v>54</v>
      </c>
      <c r="H1089" t="s">
        <v>54</v>
      </c>
      <c r="J1089" t="s">
        <v>206</v>
      </c>
      <c r="K1089" t="s">
        <v>60</v>
      </c>
      <c r="O1089">
        <v>10</v>
      </c>
      <c r="P1089">
        <f>COUNTIFS(keyword_comparison[record_identifier],keyword_comparison[[#This Row],[record_identifier]],keyword_comparison[Review],"&lt;&gt;")</f>
        <v>0</v>
      </c>
      <c r="Q1089" cm="1">
        <f t="array" ref="Q1089">SUMPRODUCT((keyword_comparison[record_identifier]=keyword_comparison[[#This Row],[record_identifier]])*(LEN(keyword_comparison[keyword_matcher_output])&gt;0))</f>
        <v>0</v>
      </c>
    </row>
    <row r="1090" spans="1:17" x14ac:dyDescent="0.25">
      <c r="A1090" t="s">
        <v>872</v>
      </c>
      <c r="B1090" t="s">
        <v>873</v>
      </c>
      <c r="C1090" t="s">
        <v>874</v>
      </c>
      <c r="D1090" t="s">
        <v>20</v>
      </c>
      <c r="E1090" t="s">
        <v>21</v>
      </c>
      <c r="F1090" t="s">
        <v>216</v>
      </c>
      <c r="G1090" t="s">
        <v>72</v>
      </c>
      <c r="H1090" t="s">
        <v>54</v>
      </c>
      <c r="P1090">
        <f>COUNTIFS(keyword_comparison[record_identifier],keyword_comparison[[#This Row],[record_identifier]],keyword_comparison[Review],"&lt;&gt;")</f>
        <v>10</v>
      </c>
      <c r="Q1090" cm="1">
        <f t="array" ref="Q1090">SUMPRODUCT((keyword_comparison[record_identifier]=keyword_comparison[[#This Row],[record_identifier]])*(LEN(keyword_comparison[keyword_matcher_output])&gt;0))</f>
        <v>0</v>
      </c>
    </row>
    <row r="1091" spans="1:17" x14ac:dyDescent="0.25">
      <c r="A1091" t="s">
        <v>872</v>
      </c>
      <c r="B1091" t="s">
        <v>873</v>
      </c>
      <c r="C1091" t="s">
        <v>874</v>
      </c>
      <c r="D1091" t="s">
        <v>20</v>
      </c>
      <c r="E1091" t="s">
        <v>21</v>
      </c>
      <c r="F1091" t="s">
        <v>71</v>
      </c>
      <c r="G1091" t="s">
        <v>72</v>
      </c>
      <c r="H1091" t="s">
        <v>54</v>
      </c>
      <c r="P1091">
        <f>COUNTIFS(keyword_comparison[record_identifier],keyword_comparison[[#This Row],[record_identifier]],keyword_comparison[Review],"&lt;&gt;")</f>
        <v>10</v>
      </c>
      <c r="Q1091" cm="1">
        <f t="array" ref="Q1091">SUMPRODUCT((keyword_comparison[record_identifier]=keyword_comparison[[#This Row],[record_identifier]])*(LEN(keyword_comparison[keyword_matcher_output])&gt;0))</f>
        <v>0</v>
      </c>
    </row>
    <row r="1092" spans="1:17" x14ac:dyDescent="0.25">
      <c r="A1092" t="s">
        <v>872</v>
      </c>
      <c r="B1092" t="s">
        <v>873</v>
      </c>
      <c r="C1092" t="s">
        <v>874</v>
      </c>
      <c r="D1092" t="s">
        <v>20</v>
      </c>
      <c r="E1092" t="s">
        <v>21</v>
      </c>
      <c r="F1092" t="s">
        <v>292</v>
      </c>
      <c r="G1092" t="s">
        <v>72</v>
      </c>
      <c r="H1092" t="s">
        <v>54</v>
      </c>
      <c r="P1092">
        <f>COUNTIFS(keyword_comparison[record_identifier],keyword_comparison[[#This Row],[record_identifier]],keyword_comparison[Review],"&lt;&gt;")</f>
        <v>10</v>
      </c>
      <c r="Q1092" cm="1">
        <f t="array" ref="Q1092">SUMPRODUCT((keyword_comparison[record_identifier]=keyword_comparison[[#This Row],[record_identifier]])*(LEN(keyword_comparison[keyword_matcher_output])&gt;0))</f>
        <v>0</v>
      </c>
    </row>
    <row r="1093" spans="1:17" x14ac:dyDescent="0.25">
      <c r="A1093" t="s">
        <v>872</v>
      </c>
      <c r="B1093" t="s">
        <v>873</v>
      </c>
      <c r="C1093" t="s">
        <v>874</v>
      </c>
      <c r="D1093" t="s">
        <v>20</v>
      </c>
      <c r="E1093" t="s">
        <v>21</v>
      </c>
      <c r="F1093" t="s">
        <v>32</v>
      </c>
      <c r="G1093" t="s">
        <v>31</v>
      </c>
      <c r="H1093" t="s">
        <v>54</v>
      </c>
      <c r="P1093">
        <f>COUNTIFS(keyword_comparison[record_identifier],keyword_comparison[[#This Row],[record_identifier]],keyword_comparison[Review],"&lt;&gt;")</f>
        <v>10</v>
      </c>
      <c r="Q1093" cm="1">
        <f t="array" ref="Q1093">SUMPRODUCT((keyword_comparison[record_identifier]=keyword_comparison[[#This Row],[record_identifier]])*(LEN(keyword_comparison[keyword_matcher_output])&gt;0))</f>
        <v>0</v>
      </c>
    </row>
    <row r="1094" spans="1:17" x14ac:dyDescent="0.25">
      <c r="A1094" t="s">
        <v>872</v>
      </c>
      <c r="B1094" t="s">
        <v>873</v>
      </c>
      <c r="C1094" t="s">
        <v>874</v>
      </c>
      <c r="D1094" t="s">
        <v>20</v>
      </c>
      <c r="E1094" t="s">
        <v>21</v>
      </c>
      <c r="F1094" t="s">
        <v>74</v>
      </c>
      <c r="G1094" t="s">
        <v>72</v>
      </c>
      <c r="H1094" t="s">
        <v>54</v>
      </c>
      <c r="P1094">
        <f>COUNTIFS(keyword_comparison[record_identifier],keyword_comparison[[#This Row],[record_identifier]],keyword_comparison[Review],"&lt;&gt;")</f>
        <v>10</v>
      </c>
      <c r="Q1094" cm="1">
        <f t="array" ref="Q1094">SUMPRODUCT((keyword_comparison[record_identifier]=keyword_comparison[[#This Row],[record_identifier]])*(LEN(keyword_comparison[keyword_matcher_output])&gt;0))</f>
        <v>0</v>
      </c>
    </row>
    <row r="1095" spans="1:17" x14ac:dyDescent="0.25">
      <c r="A1095" t="s">
        <v>872</v>
      </c>
      <c r="B1095" t="s">
        <v>873</v>
      </c>
      <c r="C1095" t="s">
        <v>874</v>
      </c>
      <c r="D1095" t="s">
        <v>20</v>
      </c>
      <c r="E1095" t="s">
        <v>21</v>
      </c>
      <c r="F1095" t="s">
        <v>30</v>
      </c>
      <c r="G1095" t="s">
        <v>31</v>
      </c>
      <c r="H1095" t="s">
        <v>54</v>
      </c>
      <c r="P1095">
        <f>COUNTIFS(keyword_comparison[record_identifier],keyword_comparison[[#This Row],[record_identifier]],keyword_comparison[Review],"&lt;&gt;")</f>
        <v>10</v>
      </c>
      <c r="Q1095" cm="1">
        <f t="array" ref="Q1095">SUMPRODUCT((keyword_comparison[record_identifier]=keyword_comparison[[#This Row],[record_identifier]])*(LEN(keyword_comparison[keyword_matcher_output])&gt;0))</f>
        <v>0</v>
      </c>
    </row>
    <row r="1096" spans="1:17" x14ac:dyDescent="0.25">
      <c r="A1096" t="s">
        <v>872</v>
      </c>
      <c r="B1096" t="s">
        <v>873</v>
      </c>
      <c r="C1096" t="s">
        <v>874</v>
      </c>
      <c r="D1096" t="s">
        <v>20</v>
      </c>
      <c r="E1096" t="s">
        <v>33</v>
      </c>
      <c r="H1096" t="s">
        <v>54</v>
      </c>
      <c r="I1096" t="s">
        <v>88</v>
      </c>
      <c r="J1096" t="s">
        <v>875</v>
      </c>
      <c r="K1096" t="s">
        <v>509</v>
      </c>
      <c r="M1096">
        <v>0.3498</v>
      </c>
      <c r="N1096">
        <v>1</v>
      </c>
      <c r="P1096">
        <f>COUNTIFS(keyword_comparison[record_identifier],keyword_comparison[[#This Row],[record_identifier]],keyword_comparison[Review],"&lt;&gt;")</f>
        <v>10</v>
      </c>
      <c r="Q1096" cm="1">
        <f t="array" ref="Q1096">SUMPRODUCT((keyword_comparison[record_identifier]=keyword_comparison[[#This Row],[record_identifier]])*(LEN(keyword_comparison[keyword_matcher_output])&gt;0))</f>
        <v>0</v>
      </c>
    </row>
    <row r="1097" spans="1:17" x14ac:dyDescent="0.25">
      <c r="A1097" t="s">
        <v>872</v>
      </c>
      <c r="B1097" t="s">
        <v>873</v>
      </c>
      <c r="C1097" t="s">
        <v>874</v>
      </c>
      <c r="D1097" t="s">
        <v>20</v>
      </c>
      <c r="E1097" t="s">
        <v>33</v>
      </c>
      <c r="H1097" t="s">
        <v>54</v>
      </c>
      <c r="I1097" t="s">
        <v>88</v>
      </c>
      <c r="J1097" t="s">
        <v>211</v>
      </c>
      <c r="K1097" t="s">
        <v>212</v>
      </c>
      <c r="L1097" t="b">
        <v>1</v>
      </c>
      <c r="M1097">
        <v>0.1565</v>
      </c>
      <c r="N1097">
        <v>2</v>
      </c>
      <c r="P1097">
        <f>COUNTIFS(keyword_comparison[record_identifier],keyword_comparison[[#This Row],[record_identifier]],keyword_comparison[Review],"&lt;&gt;")</f>
        <v>10</v>
      </c>
      <c r="Q1097" cm="1">
        <f t="array" ref="Q1097">SUMPRODUCT((keyword_comparison[record_identifier]=keyword_comparison[[#This Row],[record_identifier]])*(LEN(keyword_comparison[keyword_matcher_output])&gt;0))</f>
        <v>0</v>
      </c>
    </row>
    <row r="1098" spans="1:17" x14ac:dyDescent="0.25">
      <c r="A1098" t="s">
        <v>872</v>
      </c>
      <c r="B1098" t="s">
        <v>873</v>
      </c>
      <c r="C1098" t="s">
        <v>874</v>
      </c>
      <c r="D1098" t="s">
        <v>20</v>
      </c>
      <c r="E1098" t="s">
        <v>33</v>
      </c>
      <c r="H1098" t="s">
        <v>54</v>
      </c>
      <c r="I1098" t="s">
        <v>88</v>
      </c>
      <c r="J1098" t="s">
        <v>876</v>
      </c>
      <c r="K1098" t="s">
        <v>877</v>
      </c>
      <c r="M1098">
        <v>0.1106</v>
      </c>
      <c r="N1098">
        <v>3</v>
      </c>
      <c r="P1098">
        <f>COUNTIFS(keyword_comparison[record_identifier],keyword_comparison[[#This Row],[record_identifier]],keyword_comparison[Review],"&lt;&gt;")</f>
        <v>10</v>
      </c>
      <c r="Q1098" cm="1">
        <f t="array" ref="Q1098">SUMPRODUCT((keyword_comparison[record_identifier]=keyword_comparison[[#This Row],[record_identifier]])*(LEN(keyword_comparison[keyword_matcher_output])&gt;0))</f>
        <v>0</v>
      </c>
    </row>
    <row r="1099" spans="1:17" x14ac:dyDescent="0.25">
      <c r="A1099" t="s">
        <v>872</v>
      </c>
      <c r="B1099" t="s">
        <v>873</v>
      </c>
      <c r="C1099" t="s">
        <v>874</v>
      </c>
      <c r="D1099" t="s">
        <v>20</v>
      </c>
      <c r="E1099" t="s">
        <v>33</v>
      </c>
      <c r="H1099" t="s">
        <v>54</v>
      </c>
      <c r="I1099" t="s">
        <v>88</v>
      </c>
      <c r="J1099" t="s">
        <v>855</v>
      </c>
      <c r="K1099" t="s">
        <v>856</v>
      </c>
      <c r="M1099">
        <v>8.0600000000000005E-2</v>
      </c>
      <c r="N1099">
        <v>4</v>
      </c>
      <c r="P1099">
        <f>COUNTIFS(keyword_comparison[record_identifier],keyword_comparison[[#This Row],[record_identifier]],keyword_comparison[Review],"&lt;&gt;")</f>
        <v>10</v>
      </c>
      <c r="Q1099" cm="1">
        <f t="array" ref="Q1099">SUMPRODUCT((keyword_comparison[record_identifier]=keyword_comparison[[#This Row],[record_identifier]])*(LEN(keyword_comparison[keyword_matcher_output])&gt;0))</f>
        <v>0</v>
      </c>
    </row>
    <row r="1100" spans="1:17" x14ac:dyDescent="0.25">
      <c r="A1100" t="s">
        <v>872</v>
      </c>
      <c r="B1100" t="s">
        <v>873</v>
      </c>
      <c r="C1100" t="s">
        <v>874</v>
      </c>
      <c r="D1100" t="s">
        <v>20</v>
      </c>
      <c r="E1100" t="s">
        <v>33</v>
      </c>
      <c r="H1100" t="s">
        <v>54</v>
      </c>
      <c r="I1100" t="s">
        <v>80</v>
      </c>
      <c r="J1100" t="s">
        <v>258</v>
      </c>
      <c r="K1100" t="s">
        <v>259</v>
      </c>
      <c r="M1100">
        <v>6.8500000000000005E-2</v>
      </c>
      <c r="N1100">
        <v>5</v>
      </c>
      <c r="P1100">
        <f>COUNTIFS(keyword_comparison[record_identifier],keyword_comparison[[#This Row],[record_identifier]],keyword_comparison[Review],"&lt;&gt;")</f>
        <v>10</v>
      </c>
      <c r="Q1100" cm="1">
        <f t="array" ref="Q1100">SUMPRODUCT((keyword_comparison[record_identifier]=keyword_comparison[[#This Row],[record_identifier]])*(LEN(keyword_comparison[keyword_matcher_output])&gt;0))</f>
        <v>0</v>
      </c>
    </row>
    <row r="1101" spans="1:17" x14ac:dyDescent="0.25">
      <c r="A1101" t="s">
        <v>872</v>
      </c>
      <c r="B1101" t="s">
        <v>873</v>
      </c>
      <c r="C1101" t="s">
        <v>874</v>
      </c>
      <c r="D1101" t="s">
        <v>20</v>
      </c>
      <c r="E1101" t="s">
        <v>33</v>
      </c>
      <c r="H1101" t="s">
        <v>54</v>
      </c>
      <c r="I1101" t="s">
        <v>88</v>
      </c>
      <c r="J1101" t="s">
        <v>878</v>
      </c>
      <c r="K1101" t="s">
        <v>879</v>
      </c>
      <c r="M1101">
        <v>5.3100000000000001E-2</v>
      </c>
      <c r="N1101">
        <v>6</v>
      </c>
      <c r="P1101">
        <f>COUNTIFS(keyword_comparison[record_identifier],keyword_comparison[[#This Row],[record_identifier]],keyword_comparison[Review],"&lt;&gt;")</f>
        <v>10</v>
      </c>
      <c r="Q1101" cm="1">
        <f t="array" ref="Q1101">SUMPRODUCT((keyword_comparison[record_identifier]=keyword_comparison[[#This Row],[record_identifier]])*(LEN(keyword_comparison[keyword_matcher_output])&gt;0))</f>
        <v>0</v>
      </c>
    </row>
    <row r="1102" spans="1:17" x14ac:dyDescent="0.25">
      <c r="A1102" t="s">
        <v>872</v>
      </c>
      <c r="B1102" t="s">
        <v>873</v>
      </c>
      <c r="C1102" t="s">
        <v>874</v>
      </c>
      <c r="D1102" t="s">
        <v>20</v>
      </c>
      <c r="E1102" t="s">
        <v>48</v>
      </c>
      <c r="H1102" t="s">
        <v>54</v>
      </c>
      <c r="I1102" t="s">
        <v>80</v>
      </c>
      <c r="J1102" t="s">
        <v>255</v>
      </c>
      <c r="K1102" t="s">
        <v>256</v>
      </c>
      <c r="P1102">
        <f>COUNTIFS(keyword_comparison[record_identifier],keyword_comparison[[#This Row],[record_identifier]],keyword_comparison[Review],"&lt;&gt;")</f>
        <v>10</v>
      </c>
      <c r="Q1102" cm="1">
        <f t="array" ref="Q1102">SUMPRODUCT((keyword_comparison[record_identifier]=keyword_comparison[[#This Row],[record_identifier]])*(LEN(keyword_comparison[keyword_matcher_output])&gt;0))</f>
        <v>0</v>
      </c>
    </row>
    <row r="1103" spans="1:17" x14ac:dyDescent="0.25">
      <c r="A1103" t="s">
        <v>872</v>
      </c>
      <c r="B1103" t="s">
        <v>873</v>
      </c>
      <c r="C1103" t="s">
        <v>874</v>
      </c>
      <c r="D1103" t="s">
        <v>20</v>
      </c>
      <c r="E1103" t="s">
        <v>48</v>
      </c>
      <c r="H1103" t="s">
        <v>54</v>
      </c>
      <c r="I1103" t="s">
        <v>80</v>
      </c>
      <c r="J1103" t="s">
        <v>84</v>
      </c>
      <c r="K1103" t="s">
        <v>85</v>
      </c>
      <c r="P1103">
        <f>COUNTIFS(keyword_comparison[record_identifier],keyword_comparison[[#This Row],[record_identifier]],keyword_comparison[Review],"&lt;&gt;")</f>
        <v>10</v>
      </c>
      <c r="Q1103" cm="1">
        <f t="array" ref="Q1103">SUMPRODUCT((keyword_comparison[record_identifier]=keyword_comparison[[#This Row],[record_identifier]])*(LEN(keyword_comparison[keyword_matcher_output])&gt;0))</f>
        <v>0</v>
      </c>
    </row>
    <row r="1104" spans="1:17" x14ac:dyDescent="0.25">
      <c r="A1104" t="s">
        <v>872</v>
      </c>
      <c r="B1104" t="s">
        <v>873</v>
      </c>
      <c r="C1104" t="s">
        <v>874</v>
      </c>
      <c r="D1104" t="s">
        <v>20</v>
      </c>
      <c r="E1104" t="s">
        <v>48</v>
      </c>
      <c r="H1104" t="s">
        <v>54</v>
      </c>
      <c r="I1104" t="s">
        <v>80</v>
      </c>
      <c r="J1104" t="s">
        <v>51</v>
      </c>
      <c r="K1104" t="s">
        <v>52</v>
      </c>
      <c r="P1104">
        <f>COUNTIFS(keyword_comparison[record_identifier],keyword_comparison[[#This Row],[record_identifier]],keyword_comparison[Review],"&lt;&gt;")</f>
        <v>10</v>
      </c>
      <c r="Q1104" cm="1">
        <f t="array" ref="Q1104">SUMPRODUCT((keyword_comparison[record_identifier]=keyword_comparison[[#This Row],[record_identifier]])*(LEN(keyword_comparison[keyword_matcher_output])&gt;0))</f>
        <v>0</v>
      </c>
    </row>
    <row r="1105" spans="1:17" x14ac:dyDescent="0.25">
      <c r="A1105" t="s">
        <v>872</v>
      </c>
      <c r="B1105" t="s">
        <v>873</v>
      </c>
      <c r="C1105" t="s">
        <v>874</v>
      </c>
      <c r="D1105" t="s">
        <v>20</v>
      </c>
      <c r="E1105" t="s">
        <v>48</v>
      </c>
      <c r="H1105" t="s">
        <v>54</v>
      </c>
      <c r="I1105" t="s">
        <v>80</v>
      </c>
      <c r="J1105" t="s">
        <v>445</v>
      </c>
      <c r="K1105" t="s">
        <v>446</v>
      </c>
      <c r="P1105">
        <f>COUNTIFS(keyword_comparison[record_identifier],keyword_comparison[[#This Row],[record_identifier]],keyword_comparison[Review],"&lt;&gt;")</f>
        <v>10</v>
      </c>
      <c r="Q1105" cm="1">
        <f t="array" ref="Q1105">SUMPRODUCT((keyword_comparison[record_identifier]=keyword_comparison[[#This Row],[record_identifier]])*(LEN(keyword_comparison[keyword_matcher_output])&gt;0))</f>
        <v>0</v>
      </c>
    </row>
    <row r="1106" spans="1:17" x14ac:dyDescent="0.25">
      <c r="A1106" t="s">
        <v>872</v>
      </c>
      <c r="B1106" t="s">
        <v>873</v>
      </c>
      <c r="C1106" t="s">
        <v>874</v>
      </c>
      <c r="D1106" t="s">
        <v>20</v>
      </c>
      <c r="E1106" t="s">
        <v>53</v>
      </c>
      <c r="F1106" t="s">
        <v>54</v>
      </c>
      <c r="G1106" t="s">
        <v>54</v>
      </c>
      <c r="H1106" t="s">
        <v>54</v>
      </c>
      <c r="J1106" t="s">
        <v>51</v>
      </c>
      <c r="K1106" t="s">
        <v>52</v>
      </c>
      <c r="O1106">
        <v>1</v>
      </c>
      <c r="P1106">
        <f>COUNTIFS(keyword_comparison[record_identifier],keyword_comparison[[#This Row],[record_identifier]],keyword_comparison[Review],"&lt;&gt;")</f>
        <v>10</v>
      </c>
      <c r="Q1106" cm="1">
        <f t="array" ref="Q1106">SUMPRODUCT((keyword_comparison[record_identifier]=keyword_comparison[[#This Row],[record_identifier]])*(LEN(keyword_comparison[keyword_matcher_output])&gt;0))</f>
        <v>0</v>
      </c>
    </row>
    <row r="1107" spans="1:17" x14ac:dyDescent="0.25">
      <c r="A1107" t="s">
        <v>872</v>
      </c>
      <c r="B1107" t="s">
        <v>873</v>
      </c>
      <c r="C1107" t="s">
        <v>874</v>
      </c>
      <c r="D1107" t="s">
        <v>20</v>
      </c>
      <c r="E1107" t="s">
        <v>53</v>
      </c>
      <c r="F1107" t="s">
        <v>54</v>
      </c>
      <c r="G1107" t="s">
        <v>54</v>
      </c>
      <c r="H1107" t="s">
        <v>54</v>
      </c>
      <c r="J1107" t="s">
        <v>880</v>
      </c>
      <c r="K1107" t="s">
        <v>881</v>
      </c>
      <c r="O1107">
        <v>2</v>
      </c>
      <c r="P1107">
        <f>COUNTIFS(keyword_comparison[record_identifier],keyword_comparison[[#This Row],[record_identifier]],keyword_comparison[Review],"&lt;&gt;")</f>
        <v>10</v>
      </c>
      <c r="Q1107" cm="1">
        <f t="array" ref="Q1107">SUMPRODUCT((keyword_comparison[record_identifier]=keyword_comparison[[#This Row],[record_identifier]])*(LEN(keyword_comparison[keyword_matcher_output])&gt;0))</f>
        <v>0</v>
      </c>
    </row>
    <row r="1108" spans="1:17" x14ac:dyDescent="0.25">
      <c r="A1108" t="s">
        <v>872</v>
      </c>
      <c r="B1108" t="s">
        <v>873</v>
      </c>
      <c r="C1108" t="s">
        <v>874</v>
      </c>
      <c r="D1108" t="s">
        <v>20</v>
      </c>
      <c r="E1108" t="s">
        <v>53</v>
      </c>
      <c r="F1108" t="s">
        <v>54</v>
      </c>
      <c r="G1108" t="s">
        <v>54</v>
      </c>
      <c r="H1108" t="s">
        <v>54</v>
      </c>
      <c r="J1108" t="s">
        <v>882</v>
      </c>
      <c r="K1108" t="s">
        <v>883</v>
      </c>
      <c r="O1108">
        <v>3</v>
      </c>
      <c r="P1108">
        <f>COUNTIFS(keyword_comparison[record_identifier],keyword_comparison[[#This Row],[record_identifier]],keyword_comparison[Review],"&lt;&gt;")</f>
        <v>10</v>
      </c>
      <c r="Q1108" cm="1">
        <f t="array" ref="Q1108">SUMPRODUCT((keyword_comparison[record_identifier]=keyword_comparison[[#This Row],[record_identifier]])*(LEN(keyword_comparison[keyword_matcher_output])&gt;0))</f>
        <v>0</v>
      </c>
    </row>
    <row r="1109" spans="1:17" x14ac:dyDescent="0.25">
      <c r="A1109" t="s">
        <v>872</v>
      </c>
      <c r="B1109" t="s">
        <v>873</v>
      </c>
      <c r="C1109" t="s">
        <v>874</v>
      </c>
      <c r="D1109" t="s">
        <v>20</v>
      </c>
      <c r="E1109" t="s">
        <v>53</v>
      </c>
      <c r="F1109" t="s">
        <v>54</v>
      </c>
      <c r="G1109" t="s">
        <v>54</v>
      </c>
      <c r="H1109" t="s">
        <v>54</v>
      </c>
      <c r="J1109" t="s">
        <v>884</v>
      </c>
      <c r="K1109" t="s">
        <v>405</v>
      </c>
      <c r="O1109">
        <v>4</v>
      </c>
      <c r="P1109">
        <f>COUNTIFS(keyword_comparison[record_identifier],keyword_comparison[[#This Row],[record_identifier]],keyword_comparison[Review],"&lt;&gt;")</f>
        <v>10</v>
      </c>
      <c r="Q1109" cm="1">
        <f t="array" ref="Q1109">SUMPRODUCT((keyword_comparison[record_identifier]=keyword_comparison[[#This Row],[record_identifier]])*(LEN(keyword_comparison[keyword_matcher_output])&gt;0))</f>
        <v>0</v>
      </c>
    </row>
    <row r="1110" spans="1:17" x14ac:dyDescent="0.25">
      <c r="A1110" t="s">
        <v>872</v>
      </c>
      <c r="B1110" t="s">
        <v>873</v>
      </c>
      <c r="C1110" t="s">
        <v>874</v>
      </c>
      <c r="D1110" t="s">
        <v>20</v>
      </c>
      <c r="E1110" t="s">
        <v>53</v>
      </c>
      <c r="F1110" t="s">
        <v>54</v>
      </c>
      <c r="G1110" t="s">
        <v>54</v>
      </c>
      <c r="H1110" t="s">
        <v>54</v>
      </c>
      <c r="J1110" t="s">
        <v>255</v>
      </c>
      <c r="K1110" t="s">
        <v>256</v>
      </c>
      <c r="O1110">
        <v>5</v>
      </c>
      <c r="P1110">
        <f>COUNTIFS(keyword_comparison[record_identifier],keyword_comparison[[#This Row],[record_identifier]],keyword_comparison[Review],"&lt;&gt;")</f>
        <v>10</v>
      </c>
      <c r="Q1110" cm="1">
        <f t="array" ref="Q1110">SUMPRODUCT((keyword_comparison[record_identifier]=keyword_comparison[[#This Row],[record_identifier]])*(LEN(keyword_comparison[keyword_matcher_output])&gt;0))</f>
        <v>0</v>
      </c>
    </row>
    <row r="1111" spans="1:17" x14ac:dyDescent="0.25">
      <c r="A1111" t="s">
        <v>872</v>
      </c>
      <c r="B1111" t="s">
        <v>873</v>
      </c>
      <c r="C1111" t="s">
        <v>874</v>
      </c>
      <c r="D1111" t="s">
        <v>20</v>
      </c>
      <c r="E1111" t="s">
        <v>53</v>
      </c>
      <c r="F1111" t="s">
        <v>54</v>
      </c>
      <c r="G1111" t="s">
        <v>54</v>
      </c>
      <c r="H1111" t="s">
        <v>54</v>
      </c>
      <c r="J1111" t="s">
        <v>211</v>
      </c>
      <c r="K1111" t="s">
        <v>212</v>
      </c>
      <c r="O1111">
        <v>6</v>
      </c>
      <c r="P1111">
        <f>COUNTIFS(keyword_comparison[record_identifier],keyword_comparison[[#This Row],[record_identifier]],keyword_comparison[Review],"&lt;&gt;")</f>
        <v>10</v>
      </c>
      <c r="Q1111" cm="1">
        <f t="array" ref="Q1111">SUMPRODUCT((keyword_comparison[record_identifier]=keyword_comparison[[#This Row],[record_identifier]])*(LEN(keyword_comparison[keyword_matcher_output])&gt;0))</f>
        <v>0</v>
      </c>
    </row>
    <row r="1112" spans="1:17" x14ac:dyDescent="0.25">
      <c r="A1112" t="s">
        <v>872</v>
      </c>
      <c r="B1112" t="s">
        <v>873</v>
      </c>
      <c r="C1112" t="s">
        <v>874</v>
      </c>
      <c r="D1112" t="s">
        <v>20</v>
      </c>
      <c r="E1112" t="s">
        <v>53</v>
      </c>
      <c r="F1112" t="s">
        <v>54</v>
      </c>
      <c r="G1112" t="s">
        <v>54</v>
      </c>
      <c r="H1112" t="s">
        <v>54</v>
      </c>
      <c r="J1112" t="s">
        <v>885</v>
      </c>
      <c r="K1112" t="s">
        <v>886</v>
      </c>
      <c r="O1112">
        <v>7</v>
      </c>
      <c r="P1112">
        <f>COUNTIFS(keyword_comparison[record_identifier],keyword_comparison[[#This Row],[record_identifier]],keyword_comparison[Review],"&lt;&gt;")</f>
        <v>10</v>
      </c>
      <c r="Q1112" cm="1">
        <f t="array" ref="Q1112">SUMPRODUCT((keyword_comparison[record_identifier]=keyword_comparison[[#This Row],[record_identifier]])*(LEN(keyword_comparison[keyword_matcher_output])&gt;0))</f>
        <v>0</v>
      </c>
    </row>
    <row r="1113" spans="1:17" x14ac:dyDescent="0.25">
      <c r="A1113" t="s">
        <v>872</v>
      </c>
      <c r="B1113" t="s">
        <v>873</v>
      </c>
      <c r="C1113" t="s">
        <v>874</v>
      </c>
      <c r="D1113" t="s">
        <v>20</v>
      </c>
      <c r="E1113" t="s">
        <v>53</v>
      </c>
      <c r="F1113" t="s">
        <v>54</v>
      </c>
      <c r="G1113" t="s">
        <v>54</v>
      </c>
      <c r="H1113" t="s">
        <v>54</v>
      </c>
      <c r="J1113" t="s">
        <v>561</v>
      </c>
      <c r="K1113" t="s">
        <v>562</v>
      </c>
      <c r="O1113">
        <v>8</v>
      </c>
      <c r="P1113">
        <f>COUNTIFS(keyword_comparison[record_identifier],keyword_comparison[[#This Row],[record_identifier]],keyword_comparison[Review],"&lt;&gt;")</f>
        <v>10</v>
      </c>
      <c r="Q1113" cm="1">
        <f t="array" ref="Q1113">SUMPRODUCT((keyword_comparison[record_identifier]=keyword_comparison[[#This Row],[record_identifier]])*(LEN(keyword_comparison[keyword_matcher_output])&gt;0))</f>
        <v>0</v>
      </c>
    </row>
    <row r="1114" spans="1:17" x14ac:dyDescent="0.25">
      <c r="A1114" t="s">
        <v>887</v>
      </c>
      <c r="B1114" t="s">
        <v>888</v>
      </c>
      <c r="C1114" t="s">
        <v>889</v>
      </c>
      <c r="D1114" t="s">
        <v>20</v>
      </c>
      <c r="E1114" t="s">
        <v>33</v>
      </c>
      <c r="H1114" t="s">
        <v>54</v>
      </c>
      <c r="J1114" t="s">
        <v>204</v>
      </c>
      <c r="K1114" t="s">
        <v>205</v>
      </c>
      <c r="L1114" t="b">
        <v>1</v>
      </c>
      <c r="M1114">
        <v>0.95920000000000005</v>
      </c>
      <c r="N1114">
        <v>1</v>
      </c>
      <c r="P1114">
        <f>COUNTIFS(keyword_comparison[record_identifier],keyword_comparison[[#This Row],[record_identifier]],keyword_comparison[Review],"&lt;&gt;")</f>
        <v>0</v>
      </c>
      <c r="Q1114" cm="1">
        <f t="array" ref="Q1114">SUMPRODUCT((keyword_comparison[record_identifier]=keyword_comparison[[#This Row],[record_identifier]])*(LEN(keyword_comparison[keyword_matcher_output])&gt;0))</f>
        <v>0</v>
      </c>
    </row>
    <row r="1115" spans="1:17" x14ac:dyDescent="0.25">
      <c r="A1115" t="s">
        <v>887</v>
      </c>
      <c r="B1115" t="s">
        <v>888</v>
      </c>
      <c r="C1115" t="s">
        <v>889</v>
      </c>
      <c r="D1115" t="s">
        <v>20</v>
      </c>
      <c r="E1115" t="s">
        <v>33</v>
      </c>
      <c r="H1115" t="s">
        <v>54</v>
      </c>
      <c r="J1115" t="s">
        <v>629</v>
      </c>
      <c r="K1115" t="s">
        <v>259</v>
      </c>
      <c r="M1115">
        <v>0.9294</v>
      </c>
      <c r="N1115">
        <v>2</v>
      </c>
      <c r="P1115">
        <f>COUNTIFS(keyword_comparison[record_identifier],keyword_comparison[[#This Row],[record_identifier]],keyword_comparison[Review],"&lt;&gt;")</f>
        <v>0</v>
      </c>
      <c r="Q1115" cm="1">
        <f t="array" ref="Q1115">SUMPRODUCT((keyword_comparison[record_identifier]=keyword_comparison[[#This Row],[record_identifier]])*(LEN(keyword_comparison[keyword_matcher_output])&gt;0))</f>
        <v>0</v>
      </c>
    </row>
    <row r="1116" spans="1:17" x14ac:dyDescent="0.25">
      <c r="A1116" t="s">
        <v>887</v>
      </c>
      <c r="B1116" t="s">
        <v>888</v>
      </c>
      <c r="C1116" t="s">
        <v>889</v>
      </c>
      <c r="D1116" t="s">
        <v>20</v>
      </c>
      <c r="E1116" t="s">
        <v>33</v>
      </c>
      <c r="H1116" t="s">
        <v>54</v>
      </c>
      <c r="J1116" t="s">
        <v>839</v>
      </c>
      <c r="K1116" t="s">
        <v>840</v>
      </c>
      <c r="M1116">
        <v>0.75090000000000001</v>
      </c>
      <c r="N1116">
        <v>3</v>
      </c>
      <c r="P1116">
        <f>COUNTIFS(keyword_comparison[record_identifier],keyword_comparison[[#This Row],[record_identifier]],keyword_comparison[Review],"&lt;&gt;")</f>
        <v>0</v>
      </c>
      <c r="Q1116" cm="1">
        <f t="array" ref="Q1116">SUMPRODUCT((keyword_comparison[record_identifier]=keyword_comparison[[#This Row],[record_identifier]])*(LEN(keyword_comparison[keyword_matcher_output])&gt;0))</f>
        <v>0</v>
      </c>
    </row>
    <row r="1117" spans="1:17" x14ac:dyDescent="0.25">
      <c r="A1117" t="s">
        <v>887</v>
      </c>
      <c r="B1117" t="s">
        <v>888</v>
      </c>
      <c r="C1117" t="s">
        <v>889</v>
      </c>
      <c r="D1117" t="s">
        <v>20</v>
      </c>
      <c r="E1117" t="s">
        <v>33</v>
      </c>
      <c r="H1117" t="s">
        <v>54</v>
      </c>
      <c r="J1117" t="s">
        <v>273</v>
      </c>
      <c r="K1117" t="s">
        <v>274</v>
      </c>
      <c r="L1117" t="b">
        <v>1</v>
      </c>
      <c r="M1117">
        <v>0.38729999999999998</v>
      </c>
      <c r="N1117">
        <v>4</v>
      </c>
      <c r="P1117">
        <f>COUNTIFS(keyword_comparison[record_identifier],keyword_comparison[[#This Row],[record_identifier]],keyword_comparison[Review],"&lt;&gt;")</f>
        <v>0</v>
      </c>
      <c r="Q1117" cm="1">
        <f t="array" ref="Q1117">SUMPRODUCT((keyword_comparison[record_identifier]=keyword_comparison[[#This Row],[record_identifier]])*(LEN(keyword_comparison[keyword_matcher_output])&gt;0))</f>
        <v>0</v>
      </c>
    </row>
    <row r="1118" spans="1:17" x14ac:dyDescent="0.25">
      <c r="A1118" t="s">
        <v>887</v>
      </c>
      <c r="B1118" t="s">
        <v>888</v>
      </c>
      <c r="C1118" t="s">
        <v>889</v>
      </c>
      <c r="D1118" t="s">
        <v>20</v>
      </c>
      <c r="E1118" t="s">
        <v>33</v>
      </c>
      <c r="H1118" t="s">
        <v>54</v>
      </c>
      <c r="J1118" t="s">
        <v>304</v>
      </c>
      <c r="K1118" t="s">
        <v>305</v>
      </c>
      <c r="M1118">
        <v>0.36149999999999999</v>
      </c>
      <c r="N1118">
        <v>5</v>
      </c>
      <c r="P1118">
        <f>COUNTIFS(keyword_comparison[record_identifier],keyword_comparison[[#This Row],[record_identifier]],keyword_comparison[Review],"&lt;&gt;")</f>
        <v>0</v>
      </c>
      <c r="Q1118" cm="1">
        <f t="array" ref="Q1118">SUMPRODUCT((keyword_comparison[record_identifier]=keyword_comparison[[#This Row],[record_identifier]])*(LEN(keyword_comparison[keyword_matcher_output])&gt;0))</f>
        <v>0</v>
      </c>
    </row>
    <row r="1119" spans="1:17" x14ac:dyDescent="0.25">
      <c r="A1119" t="s">
        <v>887</v>
      </c>
      <c r="B1119" t="s">
        <v>888</v>
      </c>
      <c r="C1119" t="s">
        <v>889</v>
      </c>
      <c r="D1119" t="s">
        <v>20</v>
      </c>
      <c r="E1119" t="s">
        <v>33</v>
      </c>
      <c r="H1119" t="s">
        <v>54</v>
      </c>
      <c r="J1119" t="s">
        <v>211</v>
      </c>
      <c r="K1119" t="s">
        <v>212</v>
      </c>
      <c r="L1119" t="b">
        <v>1</v>
      </c>
      <c r="M1119">
        <v>0.27629999999999999</v>
      </c>
      <c r="N1119">
        <v>6</v>
      </c>
      <c r="P1119">
        <f>COUNTIFS(keyword_comparison[record_identifier],keyword_comparison[[#This Row],[record_identifier]],keyword_comparison[Review],"&lt;&gt;")</f>
        <v>0</v>
      </c>
      <c r="Q1119" cm="1">
        <f t="array" ref="Q1119">SUMPRODUCT((keyword_comparison[record_identifier]=keyword_comparison[[#This Row],[record_identifier]])*(LEN(keyword_comparison[keyword_matcher_output])&gt;0))</f>
        <v>0</v>
      </c>
    </row>
    <row r="1120" spans="1:17" x14ac:dyDescent="0.25">
      <c r="A1120" t="s">
        <v>887</v>
      </c>
      <c r="B1120" t="s">
        <v>888</v>
      </c>
      <c r="C1120" t="s">
        <v>889</v>
      </c>
      <c r="D1120" t="s">
        <v>20</v>
      </c>
      <c r="E1120" t="s">
        <v>33</v>
      </c>
      <c r="H1120" t="s">
        <v>54</v>
      </c>
      <c r="J1120" t="s">
        <v>473</v>
      </c>
      <c r="K1120" t="s">
        <v>474</v>
      </c>
      <c r="M1120">
        <v>0.2535</v>
      </c>
      <c r="N1120">
        <v>7</v>
      </c>
      <c r="P1120">
        <f>COUNTIFS(keyword_comparison[record_identifier],keyword_comparison[[#This Row],[record_identifier]],keyword_comparison[Review],"&lt;&gt;")</f>
        <v>0</v>
      </c>
      <c r="Q1120" cm="1">
        <f t="array" ref="Q1120">SUMPRODUCT((keyword_comparison[record_identifier]=keyword_comparison[[#This Row],[record_identifier]])*(LEN(keyword_comparison[keyword_matcher_output])&gt;0))</f>
        <v>0</v>
      </c>
    </row>
    <row r="1121" spans="1:17" x14ac:dyDescent="0.25">
      <c r="A1121" t="s">
        <v>887</v>
      </c>
      <c r="B1121" t="s">
        <v>888</v>
      </c>
      <c r="C1121" t="s">
        <v>889</v>
      </c>
      <c r="D1121" t="s">
        <v>20</v>
      </c>
      <c r="E1121" t="s">
        <v>33</v>
      </c>
      <c r="H1121" t="s">
        <v>54</v>
      </c>
      <c r="J1121" t="s">
        <v>191</v>
      </c>
      <c r="K1121" t="s">
        <v>192</v>
      </c>
      <c r="M1121">
        <v>0.17380000000000001</v>
      </c>
      <c r="N1121">
        <v>8</v>
      </c>
      <c r="P1121">
        <f>COUNTIFS(keyword_comparison[record_identifier],keyword_comparison[[#This Row],[record_identifier]],keyword_comparison[Review],"&lt;&gt;")</f>
        <v>0</v>
      </c>
      <c r="Q1121" cm="1">
        <f t="array" ref="Q1121">SUMPRODUCT((keyword_comparison[record_identifier]=keyword_comparison[[#This Row],[record_identifier]])*(LEN(keyword_comparison[keyword_matcher_output])&gt;0))</f>
        <v>0</v>
      </c>
    </row>
    <row r="1122" spans="1:17" x14ac:dyDescent="0.25">
      <c r="A1122" t="s">
        <v>887</v>
      </c>
      <c r="B1122" t="s">
        <v>888</v>
      </c>
      <c r="C1122" t="s">
        <v>889</v>
      </c>
      <c r="D1122" t="s">
        <v>20</v>
      </c>
      <c r="E1122" t="s">
        <v>33</v>
      </c>
      <c r="H1122" t="s">
        <v>54</v>
      </c>
      <c r="J1122" t="s">
        <v>677</v>
      </c>
      <c r="K1122" t="s">
        <v>678</v>
      </c>
      <c r="M1122">
        <v>0.14460000000000001</v>
      </c>
      <c r="N1122">
        <v>9</v>
      </c>
      <c r="P1122">
        <f>COUNTIFS(keyword_comparison[record_identifier],keyword_comparison[[#This Row],[record_identifier]],keyword_comparison[Review],"&lt;&gt;")</f>
        <v>0</v>
      </c>
      <c r="Q1122" cm="1">
        <f t="array" ref="Q1122">SUMPRODUCT((keyword_comparison[record_identifier]=keyword_comparison[[#This Row],[record_identifier]])*(LEN(keyword_comparison[keyword_matcher_output])&gt;0))</f>
        <v>0</v>
      </c>
    </row>
    <row r="1123" spans="1:17" x14ac:dyDescent="0.25">
      <c r="A1123" t="s">
        <v>887</v>
      </c>
      <c r="B1123" t="s">
        <v>888</v>
      </c>
      <c r="C1123" t="s">
        <v>889</v>
      </c>
      <c r="D1123" t="s">
        <v>20</v>
      </c>
      <c r="E1123" t="s">
        <v>33</v>
      </c>
      <c r="H1123" t="s">
        <v>54</v>
      </c>
      <c r="J1123" t="s">
        <v>890</v>
      </c>
      <c r="K1123" t="s">
        <v>891</v>
      </c>
      <c r="M1123">
        <v>0.1125</v>
      </c>
      <c r="N1123">
        <v>10</v>
      </c>
      <c r="P1123">
        <f>COUNTIFS(keyword_comparison[record_identifier],keyword_comparison[[#This Row],[record_identifier]],keyword_comparison[Review],"&lt;&gt;")</f>
        <v>0</v>
      </c>
      <c r="Q1123" cm="1">
        <f t="array" ref="Q1123">SUMPRODUCT((keyword_comparison[record_identifier]=keyword_comparison[[#This Row],[record_identifier]])*(LEN(keyword_comparison[keyword_matcher_output])&gt;0))</f>
        <v>0</v>
      </c>
    </row>
    <row r="1124" spans="1:17" x14ac:dyDescent="0.25">
      <c r="A1124" t="s">
        <v>887</v>
      </c>
      <c r="B1124" t="s">
        <v>888</v>
      </c>
      <c r="C1124" t="s">
        <v>889</v>
      </c>
      <c r="D1124" t="s">
        <v>20</v>
      </c>
      <c r="E1124" t="s">
        <v>33</v>
      </c>
      <c r="H1124" t="s">
        <v>54</v>
      </c>
      <c r="J1124" t="s">
        <v>892</v>
      </c>
      <c r="K1124" t="s">
        <v>893</v>
      </c>
      <c r="M1124">
        <v>9.8599999999999993E-2</v>
      </c>
      <c r="N1124">
        <v>11</v>
      </c>
      <c r="P1124">
        <f>COUNTIFS(keyword_comparison[record_identifier],keyword_comparison[[#This Row],[record_identifier]],keyword_comparison[Review],"&lt;&gt;")</f>
        <v>0</v>
      </c>
      <c r="Q1124" cm="1">
        <f t="array" ref="Q1124">SUMPRODUCT((keyword_comparison[record_identifier]=keyword_comparison[[#This Row],[record_identifier]])*(LEN(keyword_comparison[keyword_matcher_output])&gt;0))</f>
        <v>0</v>
      </c>
    </row>
    <row r="1125" spans="1:17" x14ac:dyDescent="0.25">
      <c r="A1125" t="s">
        <v>887</v>
      </c>
      <c r="B1125" t="s">
        <v>888</v>
      </c>
      <c r="C1125" t="s">
        <v>889</v>
      </c>
      <c r="D1125" t="s">
        <v>20</v>
      </c>
      <c r="E1125" t="s">
        <v>33</v>
      </c>
      <c r="H1125" t="s">
        <v>54</v>
      </c>
      <c r="J1125" t="s">
        <v>894</v>
      </c>
      <c r="K1125" t="s">
        <v>895</v>
      </c>
      <c r="M1125">
        <v>8.2900000000000001E-2</v>
      </c>
      <c r="N1125">
        <v>12</v>
      </c>
      <c r="P1125">
        <f>COUNTIFS(keyword_comparison[record_identifier],keyword_comparison[[#This Row],[record_identifier]],keyword_comparison[Review],"&lt;&gt;")</f>
        <v>0</v>
      </c>
      <c r="Q1125" cm="1">
        <f t="array" ref="Q1125">SUMPRODUCT((keyword_comparison[record_identifier]=keyword_comparison[[#This Row],[record_identifier]])*(LEN(keyword_comparison[keyword_matcher_output])&gt;0))</f>
        <v>0</v>
      </c>
    </row>
    <row r="1126" spans="1:17" x14ac:dyDescent="0.25">
      <c r="A1126" t="s">
        <v>887</v>
      </c>
      <c r="B1126" t="s">
        <v>888</v>
      </c>
      <c r="C1126" t="s">
        <v>889</v>
      </c>
      <c r="D1126" t="s">
        <v>20</v>
      </c>
      <c r="E1126" t="s">
        <v>33</v>
      </c>
      <c r="H1126" t="s">
        <v>54</v>
      </c>
      <c r="J1126" t="s">
        <v>266</v>
      </c>
      <c r="K1126" t="s">
        <v>194</v>
      </c>
      <c r="M1126">
        <v>7.2800000000000004E-2</v>
      </c>
      <c r="N1126">
        <v>13</v>
      </c>
      <c r="P1126">
        <f>COUNTIFS(keyword_comparison[record_identifier],keyword_comparison[[#This Row],[record_identifier]],keyword_comparison[Review],"&lt;&gt;")</f>
        <v>0</v>
      </c>
      <c r="Q1126" cm="1">
        <f t="array" ref="Q1126">SUMPRODUCT((keyword_comparison[record_identifier]=keyword_comparison[[#This Row],[record_identifier]])*(LEN(keyword_comparison[keyword_matcher_output])&gt;0))</f>
        <v>0</v>
      </c>
    </row>
    <row r="1127" spans="1:17" x14ac:dyDescent="0.25">
      <c r="A1127" t="s">
        <v>887</v>
      </c>
      <c r="B1127" t="s">
        <v>888</v>
      </c>
      <c r="C1127" t="s">
        <v>889</v>
      </c>
      <c r="D1127" t="s">
        <v>20</v>
      </c>
      <c r="E1127" t="s">
        <v>48</v>
      </c>
      <c r="H1127" t="s">
        <v>54</v>
      </c>
      <c r="J1127" t="s">
        <v>84</v>
      </c>
      <c r="K1127" t="s">
        <v>85</v>
      </c>
      <c r="P1127">
        <f>COUNTIFS(keyword_comparison[record_identifier],keyword_comparison[[#This Row],[record_identifier]],keyword_comparison[Review],"&lt;&gt;")</f>
        <v>0</v>
      </c>
      <c r="Q1127" cm="1">
        <f t="array" ref="Q1127">SUMPRODUCT((keyword_comparison[record_identifier]=keyword_comparison[[#This Row],[record_identifier]])*(LEN(keyword_comparison[keyword_matcher_output])&gt;0))</f>
        <v>0</v>
      </c>
    </row>
    <row r="1128" spans="1:17" x14ac:dyDescent="0.25">
      <c r="A1128" t="s">
        <v>887</v>
      </c>
      <c r="B1128" t="s">
        <v>888</v>
      </c>
      <c r="C1128" t="s">
        <v>889</v>
      </c>
      <c r="D1128" t="s">
        <v>20</v>
      </c>
      <c r="E1128" t="s">
        <v>48</v>
      </c>
      <c r="H1128" t="s">
        <v>54</v>
      </c>
      <c r="J1128" t="s">
        <v>255</v>
      </c>
      <c r="K1128" t="s">
        <v>256</v>
      </c>
      <c r="P1128">
        <f>COUNTIFS(keyword_comparison[record_identifier],keyword_comparison[[#This Row],[record_identifier]],keyword_comparison[Review],"&lt;&gt;")</f>
        <v>0</v>
      </c>
      <c r="Q1128" cm="1">
        <f t="array" ref="Q1128">SUMPRODUCT((keyword_comparison[record_identifier]=keyword_comparison[[#This Row],[record_identifier]])*(LEN(keyword_comparison[keyword_matcher_output])&gt;0))</f>
        <v>0</v>
      </c>
    </row>
    <row r="1129" spans="1:17" x14ac:dyDescent="0.25">
      <c r="A1129" t="s">
        <v>887</v>
      </c>
      <c r="B1129" t="s">
        <v>888</v>
      </c>
      <c r="C1129" t="s">
        <v>889</v>
      </c>
      <c r="D1129" t="s">
        <v>20</v>
      </c>
      <c r="E1129" t="s">
        <v>48</v>
      </c>
      <c r="H1129" t="s">
        <v>54</v>
      </c>
      <c r="J1129" t="s">
        <v>34</v>
      </c>
      <c r="K1129" t="s">
        <v>35</v>
      </c>
      <c r="P1129">
        <f>COUNTIFS(keyword_comparison[record_identifier],keyword_comparison[[#This Row],[record_identifier]],keyword_comparison[Review],"&lt;&gt;")</f>
        <v>0</v>
      </c>
      <c r="Q1129" cm="1">
        <f t="array" ref="Q1129">SUMPRODUCT((keyword_comparison[record_identifier]=keyword_comparison[[#This Row],[record_identifier]])*(LEN(keyword_comparison[keyword_matcher_output])&gt;0))</f>
        <v>0</v>
      </c>
    </row>
    <row r="1130" spans="1:17" x14ac:dyDescent="0.25">
      <c r="A1130" t="s">
        <v>887</v>
      </c>
      <c r="B1130" t="s">
        <v>888</v>
      </c>
      <c r="C1130" t="s">
        <v>889</v>
      </c>
      <c r="D1130" t="s">
        <v>20</v>
      </c>
      <c r="E1130" t="s">
        <v>48</v>
      </c>
      <c r="H1130" t="s">
        <v>54</v>
      </c>
      <c r="J1130" t="s">
        <v>257</v>
      </c>
      <c r="K1130" t="s">
        <v>205</v>
      </c>
      <c r="L1130" t="b">
        <v>1</v>
      </c>
      <c r="P1130">
        <f>COUNTIFS(keyword_comparison[record_identifier],keyword_comparison[[#This Row],[record_identifier]],keyword_comparison[Review],"&lt;&gt;")</f>
        <v>0</v>
      </c>
      <c r="Q1130" cm="1">
        <f t="array" ref="Q1130">SUMPRODUCT((keyword_comparison[record_identifier]=keyword_comparison[[#This Row],[record_identifier]])*(LEN(keyword_comparison[keyword_matcher_output])&gt;0))</f>
        <v>0</v>
      </c>
    </row>
    <row r="1131" spans="1:17" x14ac:dyDescent="0.25">
      <c r="A1131" t="s">
        <v>887</v>
      </c>
      <c r="B1131" t="s">
        <v>888</v>
      </c>
      <c r="C1131" t="s">
        <v>889</v>
      </c>
      <c r="D1131" t="s">
        <v>20</v>
      </c>
      <c r="E1131" t="s">
        <v>53</v>
      </c>
      <c r="F1131" t="s">
        <v>54</v>
      </c>
      <c r="G1131" t="s">
        <v>54</v>
      </c>
      <c r="H1131" t="s">
        <v>54</v>
      </c>
      <c r="J1131" t="s">
        <v>204</v>
      </c>
      <c r="K1131" t="s">
        <v>205</v>
      </c>
      <c r="O1131">
        <v>1</v>
      </c>
      <c r="P1131">
        <f>COUNTIFS(keyword_comparison[record_identifier],keyword_comparison[[#This Row],[record_identifier]],keyword_comparison[Review],"&lt;&gt;")</f>
        <v>0</v>
      </c>
      <c r="Q1131" cm="1">
        <f t="array" ref="Q1131">SUMPRODUCT((keyword_comparison[record_identifier]=keyword_comparison[[#This Row],[record_identifier]])*(LEN(keyword_comparison[keyword_matcher_output])&gt;0))</f>
        <v>0</v>
      </c>
    </row>
    <row r="1132" spans="1:17" x14ac:dyDescent="0.25">
      <c r="A1132" t="s">
        <v>887</v>
      </c>
      <c r="B1132" t="s">
        <v>888</v>
      </c>
      <c r="C1132" t="s">
        <v>889</v>
      </c>
      <c r="D1132" t="s">
        <v>20</v>
      </c>
      <c r="E1132" t="s">
        <v>53</v>
      </c>
      <c r="F1132" t="s">
        <v>54</v>
      </c>
      <c r="G1132" t="s">
        <v>54</v>
      </c>
      <c r="H1132" t="s">
        <v>54</v>
      </c>
      <c r="J1132" t="s">
        <v>255</v>
      </c>
      <c r="K1132" t="s">
        <v>256</v>
      </c>
      <c r="O1132">
        <v>3</v>
      </c>
      <c r="P1132">
        <f>COUNTIFS(keyword_comparison[record_identifier],keyword_comparison[[#This Row],[record_identifier]],keyword_comparison[Review],"&lt;&gt;")</f>
        <v>0</v>
      </c>
      <c r="Q1132" cm="1">
        <f t="array" ref="Q1132">SUMPRODUCT((keyword_comparison[record_identifier]=keyword_comparison[[#This Row],[record_identifier]])*(LEN(keyword_comparison[keyword_matcher_output])&gt;0))</f>
        <v>0</v>
      </c>
    </row>
    <row r="1133" spans="1:17" x14ac:dyDescent="0.25">
      <c r="A1133" t="s">
        <v>887</v>
      </c>
      <c r="B1133" t="s">
        <v>888</v>
      </c>
      <c r="C1133" t="s">
        <v>889</v>
      </c>
      <c r="D1133" t="s">
        <v>20</v>
      </c>
      <c r="E1133" t="s">
        <v>53</v>
      </c>
      <c r="F1133" t="s">
        <v>54</v>
      </c>
      <c r="G1133" t="s">
        <v>54</v>
      </c>
      <c r="H1133" t="s">
        <v>54</v>
      </c>
      <c r="J1133" t="s">
        <v>36</v>
      </c>
      <c r="K1133" t="s">
        <v>37</v>
      </c>
      <c r="O1133">
        <v>4</v>
      </c>
      <c r="P1133">
        <f>COUNTIFS(keyword_comparison[record_identifier],keyword_comparison[[#This Row],[record_identifier]],keyword_comparison[Review],"&lt;&gt;")</f>
        <v>0</v>
      </c>
      <c r="Q1133" cm="1">
        <f t="array" ref="Q1133">SUMPRODUCT((keyword_comparison[record_identifier]=keyword_comparison[[#This Row],[record_identifier]])*(LEN(keyword_comparison[keyword_matcher_output])&gt;0))</f>
        <v>0</v>
      </c>
    </row>
    <row r="1134" spans="1:17" x14ac:dyDescent="0.25">
      <c r="A1134" t="s">
        <v>887</v>
      </c>
      <c r="B1134" t="s">
        <v>888</v>
      </c>
      <c r="C1134" t="s">
        <v>889</v>
      </c>
      <c r="D1134" t="s">
        <v>20</v>
      </c>
      <c r="E1134" t="s">
        <v>53</v>
      </c>
      <c r="F1134" t="s">
        <v>54</v>
      </c>
      <c r="G1134" t="s">
        <v>54</v>
      </c>
      <c r="H1134" t="s">
        <v>54</v>
      </c>
      <c r="J1134" t="s">
        <v>896</v>
      </c>
      <c r="K1134" t="s">
        <v>897</v>
      </c>
      <c r="O1134">
        <v>5</v>
      </c>
      <c r="P1134">
        <f>COUNTIFS(keyword_comparison[record_identifier],keyword_comparison[[#This Row],[record_identifier]],keyword_comparison[Review],"&lt;&gt;")</f>
        <v>0</v>
      </c>
      <c r="Q1134" cm="1">
        <f t="array" ref="Q1134">SUMPRODUCT((keyword_comparison[record_identifier]=keyword_comparison[[#This Row],[record_identifier]])*(LEN(keyword_comparison[keyword_matcher_output])&gt;0))</f>
        <v>0</v>
      </c>
    </row>
    <row r="1135" spans="1:17" x14ac:dyDescent="0.25">
      <c r="A1135" t="s">
        <v>887</v>
      </c>
      <c r="B1135" t="s">
        <v>888</v>
      </c>
      <c r="C1135" t="s">
        <v>889</v>
      </c>
      <c r="D1135" t="s">
        <v>20</v>
      </c>
      <c r="E1135" t="s">
        <v>53</v>
      </c>
      <c r="F1135" t="s">
        <v>54</v>
      </c>
      <c r="G1135" t="s">
        <v>54</v>
      </c>
      <c r="H1135" t="s">
        <v>54</v>
      </c>
      <c r="J1135" t="s">
        <v>898</v>
      </c>
      <c r="K1135" t="s">
        <v>899</v>
      </c>
      <c r="O1135">
        <v>6</v>
      </c>
      <c r="P1135">
        <f>COUNTIFS(keyword_comparison[record_identifier],keyword_comparison[[#This Row],[record_identifier]],keyword_comparison[Review],"&lt;&gt;")</f>
        <v>0</v>
      </c>
      <c r="Q1135" cm="1">
        <f t="array" ref="Q1135">SUMPRODUCT((keyword_comparison[record_identifier]=keyword_comparison[[#This Row],[record_identifier]])*(LEN(keyword_comparison[keyword_matcher_output])&gt;0))</f>
        <v>0</v>
      </c>
    </row>
    <row r="1136" spans="1:17" x14ac:dyDescent="0.25">
      <c r="A1136" t="s">
        <v>887</v>
      </c>
      <c r="B1136" t="s">
        <v>888</v>
      </c>
      <c r="C1136" t="s">
        <v>889</v>
      </c>
      <c r="D1136" t="s">
        <v>20</v>
      </c>
      <c r="E1136" t="s">
        <v>53</v>
      </c>
      <c r="F1136" t="s">
        <v>54</v>
      </c>
      <c r="G1136" t="s">
        <v>54</v>
      </c>
      <c r="H1136" t="s">
        <v>54</v>
      </c>
      <c r="J1136" t="s">
        <v>848</v>
      </c>
      <c r="K1136" t="s">
        <v>849</v>
      </c>
      <c r="O1136">
        <v>7</v>
      </c>
      <c r="P1136">
        <f>COUNTIFS(keyword_comparison[record_identifier],keyword_comparison[[#This Row],[record_identifier]],keyword_comparison[Review],"&lt;&gt;")</f>
        <v>0</v>
      </c>
      <c r="Q1136" cm="1">
        <f t="array" ref="Q1136">SUMPRODUCT((keyword_comparison[record_identifier]=keyword_comparison[[#This Row],[record_identifier]])*(LEN(keyword_comparison[keyword_matcher_output])&gt;0))</f>
        <v>0</v>
      </c>
    </row>
    <row r="1137" spans="1:17" x14ac:dyDescent="0.25">
      <c r="A1137" t="s">
        <v>887</v>
      </c>
      <c r="B1137" t="s">
        <v>888</v>
      </c>
      <c r="C1137" t="s">
        <v>889</v>
      </c>
      <c r="D1137" t="s">
        <v>20</v>
      </c>
      <c r="E1137" t="s">
        <v>53</v>
      </c>
      <c r="F1137" t="s">
        <v>54</v>
      </c>
      <c r="G1137" t="s">
        <v>54</v>
      </c>
      <c r="H1137" t="s">
        <v>54</v>
      </c>
      <c r="J1137" t="s">
        <v>34</v>
      </c>
      <c r="K1137" t="s">
        <v>35</v>
      </c>
      <c r="O1137">
        <v>8</v>
      </c>
      <c r="P1137">
        <f>COUNTIFS(keyword_comparison[record_identifier],keyword_comparison[[#This Row],[record_identifier]],keyword_comparison[Review],"&lt;&gt;")</f>
        <v>0</v>
      </c>
      <c r="Q1137" cm="1">
        <f t="array" ref="Q1137">SUMPRODUCT((keyword_comparison[record_identifier]=keyword_comparison[[#This Row],[record_identifier]])*(LEN(keyword_comparison[keyword_matcher_output])&gt;0))</f>
        <v>0</v>
      </c>
    </row>
    <row r="1138" spans="1:17" x14ac:dyDescent="0.25">
      <c r="A1138" t="s">
        <v>887</v>
      </c>
      <c r="B1138" t="s">
        <v>888</v>
      </c>
      <c r="C1138" t="s">
        <v>889</v>
      </c>
      <c r="D1138" t="s">
        <v>20</v>
      </c>
      <c r="E1138" t="s">
        <v>53</v>
      </c>
      <c r="F1138" t="s">
        <v>54</v>
      </c>
      <c r="G1138" t="s">
        <v>54</v>
      </c>
      <c r="H1138" t="s">
        <v>54</v>
      </c>
      <c r="J1138" t="s">
        <v>206</v>
      </c>
      <c r="K1138" t="s">
        <v>60</v>
      </c>
      <c r="O1138">
        <v>9</v>
      </c>
      <c r="P1138">
        <f>COUNTIFS(keyword_comparison[record_identifier],keyword_comparison[[#This Row],[record_identifier]],keyword_comparison[Review],"&lt;&gt;")</f>
        <v>0</v>
      </c>
      <c r="Q1138" cm="1">
        <f t="array" ref="Q1138">SUMPRODUCT((keyword_comparison[record_identifier]=keyword_comparison[[#This Row],[record_identifier]])*(LEN(keyword_comparison[keyword_matcher_output])&gt;0))</f>
        <v>0</v>
      </c>
    </row>
    <row r="1139" spans="1:17" x14ac:dyDescent="0.25">
      <c r="A1139" t="s">
        <v>887</v>
      </c>
      <c r="B1139" t="s">
        <v>888</v>
      </c>
      <c r="C1139" t="s">
        <v>889</v>
      </c>
      <c r="D1139" t="s">
        <v>20</v>
      </c>
      <c r="E1139" t="s">
        <v>53</v>
      </c>
      <c r="F1139" t="s">
        <v>54</v>
      </c>
      <c r="G1139" t="s">
        <v>54</v>
      </c>
      <c r="H1139" t="s">
        <v>54</v>
      </c>
      <c r="J1139" t="s">
        <v>900</v>
      </c>
      <c r="K1139" t="s">
        <v>901</v>
      </c>
      <c r="O1139">
        <v>10</v>
      </c>
      <c r="P1139">
        <f>COUNTIFS(keyword_comparison[record_identifier],keyword_comparison[[#This Row],[record_identifier]],keyword_comparison[Review],"&lt;&gt;")</f>
        <v>0</v>
      </c>
      <c r="Q1139" cm="1">
        <f t="array" ref="Q1139">SUMPRODUCT((keyword_comparison[record_identifier]=keyword_comparison[[#This Row],[record_identifier]])*(LEN(keyword_comparison[keyword_matcher_output])&gt;0))</f>
        <v>0</v>
      </c>
    </row>
    <row r="1140" spans="1:17" x14ac:dyDescent="0.25">
      <c r="A1140" s="4" t="s">
        <v>902</v>
      </c>
      <c r="B1140" t="s">
        <v>903</v>
      </c>
      <c r="C1140" t="s">
        <v>904</v>
      </c>
      <c r="D1140" t="s">
        <v>20</v>
      </c>
      <c r="E1140" t="s">
        <v>33</v>
      </c>
      <c r="H1140" t="s">
        <v>54</v>
      </c>
      <c r="I1140" t="s">
        <v>88</v>
      </c>
      <c r="J1140" t="s">
        <v>473</v>
      </c>
      <c r="K1140" t="s">
        <v>474</v>
      </c>
      <c r="M1140">
        <v>0.88170000000000004</v>
      </c>
      <c r="N1140">
        <v>1</v>
      </c>
      <c r="P1140">
        <f>COUNTIFS(keyword_comparison[record_identifier],keyword_comparison[[#This Row],[record_identifier]],keyword_comparison[Review],"&lt;&gt;")</f>
        <v>10</v>
      </c>
      <c r="Q1140" cm="1">
        <f t="array" ref="Q1140">SUMPRODUCT((keyword_comparison[record_identifier]=keyword_comparison[[#This Row],[record_identifier]])*(LEN(keyword_comparison[keyword_matcher_output])&gt;0))</f>
        <v>0</v>
      </c>
    </row>
    <row r="1141" spans="1:17" x14ac:dyDescent="0.25">
      <c r="A1141" t="s">
        <v>902</v>
      </c>
      <c r="B1141" t="s">
        <v>903</v>
      </c>
      <c r="C1141" t="s">
        <v>904</v>
      </c>
      <c r="D1141" t="s">
        <v>20</v>
      </c>
      <c r="E1141" t="s">
        <v>33</v>
      </c>
      <c r="H1141" t="s">
        <v>54</v>
      </c>
      <c r="I1141" t="s">
        <v>80</v>
      </c>
      <c r="J1141" t="s">
        <v>219</v>
      </c>
      <c r="K1141" t="s">
        <v>221</v>
      </c>
      <c r="M1141">
        <v>0.16589999999999999</v>
      </c>
      <c r="N1141">
        <v>2</v>
      </c>
      <c r="P1141">
        <f>COUNTIFS(keyword_comparison[record_identifier],keyword_comparison[[#This Row],[record_identifier]],keyword_comparison[Review],"&lt;&gt;")</f>
        <v>10</v>
      </c>
      <c r="Q1141" cm="1">
        <f t="array" ref="Q1141">SUMPRODUCT((keyword_comparison[record_identifier]=keyword_comparison[[#This Row],[record_identifier]])*(LEN(keyword_comparison[keyword_matcher_output])&gt;0))</f>
        <v>0</v>
      </c>
    </row>
    <row r="1142" spans="1:17" x14ac:dyDescent="0.25">
      <c r="A1142" t="s">
        <v>902</v>
      </c>
      <c r="B1142" t="s">
        <v>903</v>
      </c>
      <c r="C1142" t="s">
        <v>904</v>
      </c>
      <c r="D1142" t="s">
        <v>20</v>
      </c>
      <c r="E1142" t="s">
        <v>33</v>
      </c>
      <c r="H1142" t="s">
        <v>54</v>
      </c>
      <c r="I1142" t="s">
        <v>80</v>
      </c>
      <c r="J1142" t="s">
        <v>219</v>
      </c>
      <c r="K1142" t="s">
        <v>220</v>
      </c>
      <c r="M1142">
        <v>0.16589999999999999</v>
      </c>
      <c r="N1142">
        <v>3</v>
      </c>
      <c r="P1142">
        <f>COUNTIFS(keyword_comparison[record_identifier],keyword_comparison[[#This Row],[record_identifier]],keyword_comparison[Review],"&lt;&gt;")</f>
        <v>10</v>
      </c>
      <c r="Q1142" cm="1">
        <f t="array" ref="Q1142">SUMPRODUCT((keyword_comparison[record_identifier]=keyword_comparison[[#This Row],[record_identifier]])*(LEN(keyword_comparison[keyword_matcher_output])&gt;0))</f>
        <v>0</v>
      </c>
    </row>
    <row r="1143" spans="1:17" x14ac:dyDescent="0.25">
      <c r="A1143" t="s">
        <v>902</v>
      </c>
      <c r="B1143" t="s">
        <v>903</v>
      </c>
      <c r="C1143" t="s">
        <v>904</v>
      </c>
      <c r="D1143" t="s">
        <v>20</v>
      </c>
      <c r="E1143" t="s">
        <v>33</v>
      </c>
      <c r="H1143" t="s">
        <v>54</v>
      </c>
      <c r="I1143" t="s">
        <v>88</v>
      </c>
      <c r="J1143" t="s">
        <v>636</v>
      </c>
      <c r="K1143" t="s">
        <v>637</v>
      </c>
      <c r="M1143">
        <v>9.4299999999999995E-2</v>
      </c>
      <c r="N1143">
        <v>4</v>
      </c>
      <c r="P1143">
        <f>COUNTIFS(keyword_comparison[record_identifier],keyword_comparison[[#This Row],[record_identifier]],keyword_comparison[Review],"&lt;&gt;")</f>
        <v>10</v>
      </c>
      <c r="Q1143" cm="1">
        <f t="array" ref="Q1143">SUMPRODUCT((keyword_comparison[record_identifier]=keyword_comparison[[#This Row],[record_identifier]])*(LEN(keyword_comparison[keyword_matcher_output])&gt;0))</f>
        <v>0</v>
      </c>
    </row>
    <row r="1144" spans="1:17" x14ac:dyDescent="0.25">
      <c r="A1144" t="s">
        <v>902</v>
      </c>
      <c r="B1144" t="s">
        <v>903</v>
      </c>
      <c r="C1144" t="s">
        <v>904</v>
      </c>
      <c r="D1144" t="s">
        <v>20</v>
      </c>
      <c r="E1144" t="s">
        <v>33</v>
      </c>
      <c r="H1144" t="s">
        <v>54</v>
      </c>
      <c r="I1144" t="s">
        <v>88</v>
      </c>
      <c r="J1144" t="s">
        <v>905</v>
      </c>
      <c r="K1144" t="s">
        <v>906</v>
      </c>
      <c r="M1144">
        <v>8.8999999999999996E-2</v>
      </c>
      <c r="N1144">
        <v>5</v>
      </c>
      <c r="P1144">
        <f>COUNTIFS(keyword_comparison[record_identifier],keyword_comparison[[#This Row],[record_identifier]],keyword_comparison[Review],"&lt;&gt;")</f>
        <v>10</v>
      </c>
      <c r="Q1144" cm="1">
        <f t="array" ref="Q1144">SUMPRODUCT((keyword_comparison[record_identifier]=keyword_comparison[[#This Row],[record_identifier]])*(LEN(keyword_comparison[keyword_matcher_output])&gt;0))</f>
        <v>0</v>
      </c>
    </row>
    <row r="1145" spans="1:17" x14ac:dyDescent="0.25">
      <c r="A1145" t="s">
        <v>902</v>
      </c>
      <c r="B1145" t="s">
        <v>903</v>
      </c>
      <c r="C1145" t="s">
        <v>904</v>
      </c>
      <c r="D1145" t="s">
        <v>20</v>
      </c>
      <c r="E1145" t="s">
        <v>33</v>
      </c>
      <c r="H1145" t="s">
        <v>54</v>
      </c>
      <c r="I1145" t="s">
        <v>88</v>
      </c>
      <c r="J1145" t="s">
        <v>907</v>
      </c>
      <c r="K1145" t="s">
        <v>908</v>
      </c>
      <c r="M1145">
        <v>8.2699999999999996E-2</v>
      </c>
      <c r="N1145">
        <v>6</v>
      </c>
      <c r="P1145">
        <f>COUNTIFS(keyword_comparison[record_identifier],keyword_comparison[[#This Row],[record_identifier]],keyword_comparison[Review],"&lt;&gt;")</f>
        <v>10</v>
      </c>
      <c r="Q1145" cm="1">
        <f t="array" ref="Q1145">SUMPRODUCT((keyword_comparison[record_identifier]=keyword_comparison[[#This Row],[record_identifier]])*(LEN(keyword_comparison[keyword_matcher_output])&gt;0))</f>
        <v>0</v>
      </c>
    </row>
    <row r="1146" spans="1:17" x14ac:dyDescent="0.25">
      <c r="A1146" t="s">
        <v>902</v>
      </c>
      <c r="B1146" t="s">
        <v>903</v>
      </c>
      <c r="C1146" t="s">
        <v>904</v>
      </c>
      <c r="D1146" t="s">
        <v>20</v>
      </c>
      <c r="E1146" t="s">
        <v>48</v>
      </c>
      <c r="H1146" t="s">
        <v>54</v>
      </c>
      <c r="I1146" t="s">
        <v>80</v>
      </c>
      <c r="J1146" t="s">
        <v>84</v>
      </c>
      <c r="K1146" t="s">
        <v>85</v>
      </c>
      <c r="P1146">
        <f>COUNTIFS(keyword_comparison[record_identifier],keyword_comparison[[#This Row],[record_identifier]],keyword_comparison[Review],"&lt;&gt;")</f>
        <v>10</v>
      </c>
      <c r="Q1146" cm="1">
        <f t="array" ref="Q1146">SUMPRODUCT((keyword_comparison[record_identifier]=keyword_comparison[[#This Row],[record_identifier]])*(LEN(keyword_comparison[keyword_matcher_output])&gt;0))</f>
        <v>0</v>
      </c>
    </row>
    <row r="1147" spans="1:17" x14ac:dyDescent="0.25">
      <c r="A1147" t="s">
        <v>902</v>
      </c>
      <c r="B1147" t="s">
        <v>903</v>
      </c>
      <c r="C1147" t="s">
        <v>904</v>
      </c>
      <c r="D1147" t="s">
        <v>20</v>
      </c>
      <c r="E1147" t="s">
        <v>48</v>
      </c>
      <c r="H1147" t="s">
        <v>54</v>
      </c>
      <c r="I1147" t="s">
        <v>80</v>
      </c>
      <c r="J1147" t="s">
        <v>219</v>
      </c>
      <c r="K1147" t="s">
        <v>221</v>
      </c>
      <c r="P1147">
        <f>COUNTIFS(keyword_comparison[record_identifier],keyword_comparison[[#This Row],[record_identifier]],keyword_comparison[Review],"&lt;&gt;")</f>
        <v>10</v>
      </c>
      <c r="Q1147" cm="1">
        <f t="array" ref="Q1147">SUMPRODUCT((keyword_comparison[record_identifier]=keyword_comparison[[#This Row],[record_identifier]])*(LEN(keyword_comparison[keyword_matcher_output])&gt;0))</f>
        <v>0</v>
      </c>
    </row>
    <row r="1148" spans="1:17" x14ac:dyDescent="0.25">
      <c r="A1148" t="s">
        <v>902</v>
      </c>
      <c r="B1148" t="s">
        <v>903</v>
      </c>
      <c r="C1148" t="s">
        <v>904</v>
      </c>
      <c r="D1148" t="s">
        <v>20</v>
      </c>
      <c r="E1148" t="s">
        <v>48</v>
      </c>
      <c r="H1148" t="s">
        <v>54</v>
      </c>
      <c r="I1148" t="s">
        <v>80</v>
      </c>
      <c r="J1148" t="s">
        <v>219</v>
      </c>
      <c r="K1148" t="s">
        <v>220</v>
      </c>
      <c r="P1148">
        <f>COUNTIFS(keyword_comparison[record_identifier],keyword_comparison[[#This Row],[record_identifier]],keyword_comparison[Review],"&lt;&gt;")</f>
        <v>10</v>
      </c>
      <c r="Q1148" cm="1">
        <f t="array" ref="Q1148">SUMPRODUCT((keyword_comparison[record_identifier]=keyword_comparison[[#This Row],[record_identifier]])*(LEN(keyword_comparison[keyword_matcher_output])&gt;0))</f>
        <v>0</v>
      </c>
    </row>
    <row r="1149" spans="1:17" x14ac:dyDescent="0.25">
      <c r="A1149" t="s">
        <v>902</v>
      </c>
      <c r="B1149" t="s">
        <v>903</v>
      </c>
      <c r="C1149" t="s">
        <v>904</v>
      </c>
      <c r="D1149" t="s">
        <v>20</v>
      </c>
      <c r="E1149" t="s">
        <v>48</v>
      </c>
      <c r="H1149" t="s">
        <v>54</v>
      </c>
      <c r="I1149" t="s">
        <v>88</v>
      </c>
      <c r="J1149" t="s">
        <v>49</v>
      </c>
      <c r="K1149" t="s">
        <v>50</v>
      </c>
      <c r="P1149">
        <f>COUNTIFS(keyword_comparison[record_identifier],keyword_comparison[[#This Row],[record_identifier]],keyword_comparison[Review],"&lt;&gt;")</f>
        <v>10</v>
      </c>
      <c r="Q1149" cm="1">
        <f t="array" ref="Q1149">SUMPRODUCT((keyword_comparison[record_identifier]=keyword_comparison[[#This Row],[record_identifier]])*(LEN(keyword_comparison[keyword_matcher_output])&gt;0))</f>
        <v>0</v>
      </c>
    </row>
    <row r="1150" spans="1:17" x14ac:dyDescent="0.25">
      <c r="A1150" t="s">
        <v>902</v>
      </c>
      <c r="B1150" t="s">
        <v>903</v>
      </c>
      <c r="C1150" t="s">
        <v>904</v>
      </c>
      <c r="D1150" t="s">
        <v>20</v>
      </c>
      <c r="E1150" t="s">
        <v>53</v>
      </c>
      <c r="F1150" t="s">
        <v>54</v>
      </c>
      <c r="G1150" t="s">
        <v>54</v>
      </c>
      <c r="H1150" t="s">
        <v>54</v>
      </c>
      <c r="J1150" t="s">
        <v>219</v>
      </c>
      <c r="K1150" t="s">
        <v>221</v>
      </c>
      <c r="O1150">
        <v>1</v>
      </c>
      <c r="P1150">
        <f>COUNTIFS(keyword_comparison[record_identifier],keyword_comparison[[#This Row],[record_identifier]],keyword_comparison[Review],"&lt;&gt;")</f>
        <v>10</v>
      </c>
      <c r="Q1150" cm="1">
        <f t="array" ref="Q1150">SUMPRODUCT((keyword_comparison[record_identifier]=keyword_comparison[[#This Row],[record_identifier]])*(LEN(keyword_comparison[keyword_matcher_output])&gt;0))</f>
        <v>0</v>
      </c>
    </row>
    <row r="1151" spans="1:17" x14ac:dyDescent="0.25">
      <c r="A1151" t="s">
        <v>902</v>
      </c>
      <c r="B1151" t="s">
        <v>903</v>
      </c>
      <c r="C1151" t="s">
        <v>904</v>
      </c>
      <c r="D1151" t="s">
        <v>20</v>
      </c>
      <c r="E1151" t="s">
        <v>53</v>
      </c>
      <c r="F1151" t="s">
        <v>54</v>
      </c>
      <c r="G1151" t="s">
        <v>54</v>
      </c>
      <c r="H1151" t="s">
        <v>54</v>
      </c>
      <c r="J1151" t="s">
        <v>219</v>
      </c>
      <c r="K1151" t="s">
        <v>220</v>
      </c>
      <c r="O1151">
        <v>1</v>
      </c>
      <c r="P1151">
        <f>COUNTIFS(keyword_comparison[record_identifier],keyword_comparison[[#This Row],[record_identifier]],keyword_comparison[Review],"&lt;&gt;")</f>
        <v>10</v>
      </c>
      <c r="Q1151" cm="1">
        <f t="array" ref="Q1151">SUMPRODUCT((keyword_comparison[record_identifier]=keyword_comparison[[#This Row],[record_identifier]])*(LEN(keyword_comparison[keyword_matcher_output])&gt;0))</f>
        <v>0</v>
      </c>
    </row>
    <row r="1152" spans="1:17" x14ac:dyDescent="0.25">
      <c r="A1152" t="s">
        <v>902</v>
      </c>
      <c r="B1152" t="s">
        <v>903</v>
      </c>
      <c r="C1152" t="s">
        <v>904</v>
      </c>
      <c r="D1152" t="s">
        <v>20</v>
      </c>
      <c r="E1152" t="s">
        <v>53</v>
      </c>
      <c r="F1152" t="s">
        <v>54</v>
      </c>
      <c r="G1152" t="s">
        <v>54</v>
      </c>
      <c r="H1152" t="s">
        <v>54</v>
      </c>
      <c r="J1152" t="s">
        <v>477</v>
      </c>
      <c r="K1152" t="s">
        <v>478</v>
      </c>
      <c r="O1152">
        <v>2</v>
      </c>
      <c r="P1152">
        <f>COUNTIFS(keyword_comparison[record_identifier],keyword_comparison[[#This Row],[record_identifier]],keyword_comparison[Review],"&lt;&gt;")</f>
        <v>10</v>
      </c>
      <c r="Q1152" cm="1">
        <f t="array" ref="Q1152">SUMPRODUCT((keyword_comparison[record_identifier]=keyword_comparison[[#This Row],[record_identifier]])*(LEN(keyword_comparison[keyword_matcher_output])&gt;0))</f>
        <v>0</v>
      </c>
    </row>
    <row r="1153" spans="1:17" x14ac:dyDescent="0.25">
      <c r="A1153" t="s">
        <v>909</v>
      </c>
      <c r="B1153" t="s">
        <v>910</v>
      </c>
      <c r="C1153" t="s">
        <v>911</v>
      </c>
      <c r="D1153" t="s">
        <v>20</v>
      </c>
      <c r="E1153" t="s">
        <v>33</v>
      </c>
      <c r="H1153" t="s">
        <v>54</v>
      </c>
      <c r="J1153" t="s">
        <v>561</v>
      </c>
      <c r="K1153" t="s">
        <v>562</v>
      </c>
      <c r="M1153">
        <v>0.96840000000000004</v>
      </c>
      <c r="N1153">
        <v>1</v>
      </c>
      <c r="P1153">
        <f>COUNTIFS(keyword_comparison[record_identifier],keyword_comparison[[#This Row],[record_identifier]],keyword_comparison[Review],"&lt;&gt;")</f>
        <v>0</v>
      </c>
      <c r="Q1153" cm="1">
        <f t="array" ref="Q1153">SUMPRODUCT((keyword_comparison[record_identifier]=keyword_comparison[[#This Row],[record_identifier]])*(LEN(keyword_comparison[keyword_matcher_output])&gt;0))</f>
        <v>0</v>
      </c>
    </row>
    <row r="1154" spans="1:17" x14ac:dyDescent="0.25">
      <c r="A1154" t="s">
        <v>909</v>
      </c>
      <c r="B1154" t="s">
        <v>910</v>
      </c>
      <c r="C1154" t="s">
        <v>911</v>
      </c>
      <c r="D1154" t="s">
        <v>20</v>
      </c>
      <c r="E1154" t="s">
        <v>33</v>
      </c>
      <c r="H1154" t="s">
        <v>54</v>
      </c>
      <c r="J1154" t="s">
        <v>318</v>
      </c>
      <c r="K1154" t="s">
        <v>319</v>
      </c>
      <c r="M1154">
        <v>0.65920000000000001</v>
      </c>
      <c r="N1154">
        <v>2</v>
      </c>
      <c r="P1154">
        <f>COUNTIFS(keyword_comparison[record_identifier],keyword_comparison[[#This Row],[record_identifier]],keyword_comparison[Review],"&lt;&gt;")</f>
        <v>0</v>
      </c>
      <c r="Q1154" cm="1">
        <f t="array" ref="Q1154">SUMPRODUCT((keyword_comparison[record_identifier]=keyword_comparison[[#This Row],[record_identifier]])*(LEN(keyword_comparison[keyword_matcher_output])&gt;0))</f>
        <v>0</v>
      </c>
    </row>
    <row r="1155" spans="1:17" x14ac:dyDescent="0.25">
      <c r="A1155" t="s">
        <v>909</v>
      </c>
      <c r="B1155" t="s">
        <v>910</v>
      </c>
      <c r="C1155" t="s">
        <v>911</v>
      </c>
      <c r="D1155" t="s">
        <v>20</v>
      </c>
      <c r="E1155" t="s">
        <v>33</v>
      </c>
      <c r="H1155" t="s">
        <v>54</v>
      </c>
      <c r="J1155" t="s">
        <v>545</v>
      </c>
      <c r="K1155" t="s">
        <v>546</v>
      </c>
      <c r="M1155">
        <v>0.51019999999999999</v>
      </c>
      <c r="N1155">
        <v>3</v>
      </c>
      <c r="P1155">
        <f>COUNTIFS(keyword_comparison[record_identifier],keyword_comparison[[#This Row],[record_identifier]],keyword_comparison[Review],"&lt;&gt;")</f>
        <v>0</v>
      </c>
      <c r="Q1155" cm="1">
        <f t="array" ref="Q1155">SUMPRODUCT((keyword_comparison[record_identifier]=keyword_comparison[[#This Row],[record_identifier]])*(LEN(keyword_comparison[keyword_matcher_output])&gt;0))</f>
        <v>0</v>
      </c>
    </row>
    <row r="1156" spans="1:17" x14ac:dyDescent="0.25">
      <c r="A1156" t="s">
        <v>909</v>
      </c>
      <c r="B1156" t="s">
        <v>910</v>
      </c>
      <c r="C1156" t="s">
        <v>911</v>
      </c>
      <c r="D1156" t="s">
        <v>20</v>
      </c>
      <c r="E1156" t="s">
        <v>33</v>
      </c>
      <c r="H1156" t="s">
        <v>54</v>
      </c>
      <c r="J1156" t="s">
        <v>191</v>
      </c>
      <c r="K1156" t="s">
        <v>192</v>
      </c>
      <c r="M1156">
        <v>0.42880000000000001</v>
      </c>
      <c r="N1156">
        <v>4</v>
      </c>
      <c r="P1156">
        <f>COUNTIFS(keyword_comparison[record_identifier],keyword_comparison[[#This Row],[record_identifier]],keyword_comparison[Review],"&lt;&gt;")</f>
        <v>0</v>
      </c>
      <c r="Q1156" cm="1">
        <f t="array" ref="Q1156">SUMPRODUCT((keyword_comparison[record_identifier]=keyword_comparison[[#This Row],[record_identifier]])*(LEN(keyword_comparison[keyword_matcher_output])&gt;0))</f>
        <v>0</v>
      </c>
    </row>
    <row r="1157" spans="1:17" x14ac:dyDescent="0.25">
      <c r="A1157" t="s">
        <v>909</v>
      </c>
      <c r="B1157" t="s">
        <v>910</v>
      </c>
      <c r="C1157" t="s">
        <v>911</v>
      </c>
      <c r="D1157" t="s">
        <v>20</v>
      </c>
      <c r="E1157" t="s">
        <v>33</v>
      </c>
      <c r="H1157" t="s">
        <v>54</v>
      </c>
      <c r="J1157" t="s">
        <v>786</v>
      </c>
      <c r="K1157" t="s">
        <v>787</v>
      </c>
      <c r="M1157">
        <v>0.4088</v>
      </c>
      <c r="N1157">
        <v>5</v>
      </c>
      <c r="P1157">
        <f>COUNTIFS(keyword_comparison[record_identifier],keyword_comparison[[#This Row],[record_identifier]],keyword_comparison[Review],"&lt;&gt;")</f>
        <v>0</v>
      </c>
      <c r="Q1157" cm="1">
        <f t="array" ref="Q1157">SUMPRODUCT((keyword_comparison[record_identifier]=keyword_comparison[[#This Row],[record_identifier]])*(LEN(keyword_comparison[keyword_matcher_output])&gt;0))</f>
        <v>0</v>
      </c>
    </row>
    <row r="1158" spans="1:17" x14ac:dyDescent="0.25">
      <c r="A1158" t="s">
        <v>909</v>
      </c>
      <c r="B1158" t="s">
        <v>910</v>
      </c>
      <c r="C1158" t="s">
        <v>911</v>
      </c>
      <c r="D1158" t="s">
        <v>20</v>
      </c>
      <c r="E1158" t="s">
        <v>33</v>
      </c>
      <c r="H1158" t="s">
        <v>54</v>
      </c>
      <c r="J1158" t="s">
        <v>781</v>
      </c>
      <c r="K1158" t="s">
        <v>782</v>
      </c>
      <c r="M1158">
        <v>0.36649999999999999</v>
      </c>
      <c r="N1158">
        <v>6</v>
      </c>
      <c r="P1158">
        <f>COUNTIFS(keyword_comparison[record_identifier],keyword_comparison[[#This Row],[record_identifier]],keyword_comparison[Review],"&lt;&gt;")</f>
        <v>0</v>
      </c>
      <c r="Q1158" cm="1">
        <f t="array" ref="Q1158">SUMPRODUCT((keyword_comparison[record_identifier]=keyword_comparison[[#This Row],[record_identifier]])*(LEN(keyword_comparison[keyword_matcher_output])&gt;0))</f>
        <v>0</v>
      </c>
    </row>
    <row r="1159" spans="1:17" x14ac:dyDescent="0.25">
      <c r="A1159" t="s">
        <v>909</v>
      </c>
      <c r="B1159" t="s">
        <v>910</v>
      </c>
      <c r="C1159" t="s">
        <v>911</v>
      </c>
      <c r="D1159" t="s">
        <v>20</v>
      </c>
      <c r="E1159" t="s">
        <v>33</v>
      </c>
      <c r="H1159" t="s">
        <v>54</v>
      </c>
      <c r="J1159" t="s">
        <v>912</v>
      </c>
      <c r="K1159" t="s">
        <v>856</v>
      </c>
      <c r="M1159">
        <v>0.36620000000000003</v>
      </c>
      <c r="N1159">
        <v>7</v>
      </c>
      <c r="P1159">
        <f>COUNTIFS(keyword_comparison[record_identifier],keyword_comparison[[#This Row],[record_identifier]],keyword_comparison[Review],"&lt;&gt;")</f>
        <v>0</v>
      </c>
      <c r="Q1159" cm="1">
        <f t="array" ref="Q1159">SUMPRODUCT((keyword_comparison[record_identifier]=keyword_comparison[[#This Row],[record_identifier]])*(LEN(keyword_comparison[keyword_matcher_output])&gt;0))</f>
        <v>0</v>
      </c>
    </row>
    <row r="1160" spans="1:17" x14ac:dyDescent="0.25">
      <c r="A1160" t="s">
        <v>909</v>
      </c>
      <c r="B1160" t="s">
        <v>910</v>
      </c>
      <c r="C1160" t="s">
        <v>911</v>
      </c>
      <c r="D1160" t="s">
        <v>20</v>
      </c>
      <c r="E1160" t="s">
        <v>33</v>
      </c>
      <c r="H1160" t="s">
        <v>54</v>
      </c>
      <c r="J1160" t="s">
        <v>812</v>
      </c>
      <c r="K1160" t="s">
        <v>566</v>
      </c>
      <c r="M1160">
        <v>0.27839999999999998</v>
      </c>
      <c r="N1160">
        <v>8</v>
      </c>
      <c r="P1160">
        <f>COUNTIFS(keyword_comparison[record_identifier],keyword_comparison[[#This Row],[record_identifier]],keyword_comparison[Review],"&lt;&gt;")</f>
        <v>0</v>
      </c>
      <c r="Q1160" cm="1">
        <f t="array" ref="Q1160">SUMPRODUCT((keyword_comparison[record_identifier]=keyword_comparison[[#This Row],[record_identifier]])*(LEN(keyword_comparison[keyword_matcher_output])&gt;0))</f>
        <v>0</v>
      </c>
    </row>
    <row r="1161" spans="1:17" x14ac:dyDescent="0.25">
      <c r="A1161" t="s">
        <v>909</v>
      </c>
      <c r="B1161" t="s">
        <v>910</v>
      </c>
      <c r="C1161" t="s">
        <v>911</v>
      </c>
      <c r="D1161" t="s">
        <v>20</v>
      </c>
      <c r="E1161" t="s">
        <v>33</v>
      </c>
      <c r="H1161" t="s">
        <v>54</v>
      </c>
      <c r="J1161" t="s">
        <v>913</v>
      </c>
      <c r="K1161" t="s">
        <v>914</v>
      </c>
      <c r="M1161">
        <v>0.2253</v>
      </c>
      <c r="N1161">
        <v>9</v>
      </c>
      <c r="P1161">
        <f>COUNTIFS(keyword_comparison[record_identifier],keyword_comparison[[#This Row],[record_identifier]],keyword_comparison[Review],"&lt;&gt;")</f>
        <v>0</v>
      </c>
      <c r="Q1161" cm="1">
        <f t="array" ref="Q1161">SUMPRODUCT((keyword_comparison[record_identifier]=keyword_comparison[[#This Row],[record_identifier]])*(LEN(keyword_comparison[keyword_matcher_output])&gt;0))</f>
        <v>0</v>
      </c>
    </row>
    <row r="1162" spans="1:17" x14ac:dyDescent="0.25">
      <c r="A1162" t="s">
        <v>909</v>
      </c>
      <c r="B1162" t="s">
        <v>910</v>
      </c>
      <c r="C1162" t="s">
        <v>911</v>
      </c>
      <c r="D1162" t="s">
        <v>20</v>
      </c>
      <c r="E1162" t="s">
        <v>33</v>
      </c>
      <c r="H1162" t="s">
        <v>54</v>
      </c>
      <c r="J1162" t="s">
        <v>766</v>
      </c>
      <c r="K1162" t="s">
        <v>183</v>
      </c>
      <c r="M1162">
        <v>0.18179999999999999</v>
      </c>
      <c r="N1162">
        <v>10</v>
      </c>
      <c r="P1162">
        <f>COUNTIFS(keyword_comparison[record_identifier],keyword_comparison[[#This Row],[record_identifier]],keyword_comparison[Review],"&lt;&gt;")</f>
        <v>0</v>
      </c>
      <c r="Q1162" cm="1">
        <f t="array" ref="Q1162">SUMPRODUCT((keyword_comparison[record_identifier]=keyword_comparison[[#This Row],[record_identifier]])*(LEN(keyword_comparison[keyword_matcher_output])&gt;0))</f>
        <v>0</v>
      </c>
    </row>
    <row r="1163" spans="1:17" x14ac:dyDescent="0.25">
      <c r="A1163" t="s">
        <v>909</v>
      </c>
      <c r="B1163" t="s">
        <v>910</v>
      </c>
      <c r="C1163" t="s">
        <v>911</v>
      </c>
      <c r="D1163" t="s">
        <v>20</v>
      </c>
      <c r="E1163" t="s">
        <v>33</v>
      </c>
      <c r="H1163" t="s">
        <v>54</v>
      </c>
      <c r="J1163" t="s">
        <v>563</v>
      </c>
      <c r="K1163" t="s">
        <v>564</v>
      </c>
      <c r="M1163">
        <v>0.16400000000000001</v>
      </c>
      <c r="N1163">
        <v>11</v>
      </c>
      <c r="P1163">
        <f>COUNTIFS(keyword_comparison[record_identifier],keyword_comparison[[#This Row],[record_identifier]],keyword_comparison[Review],"&lt;&gt;")</f>
        <v>0</v>
      </c>
      <c r="Q1163" cm="1">
        <f t="array" ref="Q1163">SUMPRODUCT((keyword_comparison[record_identifier]=keyword_comparison[[#This Row],[record_identifier]])*(LEN(keyword_comparison[keyword_matcher_output])&gt;0))</f>
        <v>0</v>
      </c>
    </row>
    <row r="1164" spans="1:17" x14ac:dyDescent="0.25">
      <c r="A1164" t="s">
        <v>909</v>
      </c>
      <c r="B1164" t="s">
        <v>910</v>
      </c>
      <c r="C1164" t="s">
        <v>911</v>
      </c>
      <c r="D1164" t="s">
        <v>20</v>
      </c>
      <c r="E1164" t="s">
        <v>33</v>
      </c>
      <c r="H1164" t="s">
        <v>54</v>
      </c>
      <c r="J1164" t="s">
        <v>107</v>
      </c>
      <c r="K1164" t="s">
        <v>108</v>
      </c>
      <c r="M1164">
        <v>0.1343</v>
      </c>
      <c r="N1164">
        <v>12</v>
      </c>
      <c r="P1164">
        <f>COUNTIFS(keyword_comparison[record_identifier],keyword_comparison[[#This Row],[record_identifier]],keyword_comparison[Review],"&lt;&gt;")</f>
        <v>0</v>
      </c>
      <c r="Q1164" cm="1">
        <f t="array" ref="Q1164">SUMPRODUCT((keyword_comparison[record_identifier]=keyword_comparison[[#This Row],[record_identifier]])*(LEN(keyword_comparison[keyword_matcher_output])&gt;0))</f>
        <v>0</v>
      </c>
    </row>
    <row r="1165" spans="1:17" x14ac:dyDescent="0.25">
      <c r="A1165" t="s">
        <v>909</v>
      </c>
      <c r="B1165" t="s">
        <v>910</v>
      </c>
      <c r="C1165" t="s">
        <v>911</v>
      </c>
      <c r="D1165" t="s">
        <v>20</v>
      </c>
      <c r="E1165" t="s">
        <v>33</v>
      </c>
      <c r="H1165" t="s">
        <v>54</v>
      </c>
      <c r="J1165" t="s">
        <v>915</v>
      </c>
      <c r="K1165" t="s">
        <v>916</v>
      </c>
      <c r="M1165">
        <v>0.1134</v>
      </c>
      <c r="N1165">
        <v>13</v>
      </c>
      <c r="P1165">
        <f>COUNTIFS(keyword_comparison[record_identifier],keyword_comparison[[#This Row],[record_identifier]],keyword_comparison[Review],"&lt;&gt;")</f>
        <v>0</v>
      </c>
      <c r="Q1165" cm="1">
        <f t="array" ref="Q1165">SUMPRODUCT((keyword_comparison[record_identifier]=keyword_comparison[[#This Row],[record_identifier]])*(LEN(keyword_comparison[keyword_matcher_output])&gt;0))</f>
        <v>0</v>
      </c>
    </row>
    <row r="1166" spans="1:17" x14ac:dyDescent="0.25">
      <c r="A1166" t="s">
        <v>909</v>
      </c>
      <c r="B1166" t="s">
        <v>910</v>
      </c>
      <c r="C1166" t="s">
        <v>911</v>
      </c>
      <c r="D1166" t="s">
        <v>20</v>
      </c>
      <c r="E1166" t="s">
        <v>33</v>
      </c>
      <c r="H1166" t="s">
        <v>54</v>
      </c>
      <c r="J1166" t="s">
        <v>226</v>
      </c>
      <c r="K1166" t="s">
        <v>227</v>
      </c>
      <c r="M1166">
        <v>0.108</v>
      </c>
      <c r="N1166">
        <v>14</v>
      </c>
      <c r="P1166">
        <f>COUNTIFS(keyword_comparison[record_identifier],keyword_comparison[[#This Row],[record_identifier]],keyword_comparison[Review],"&lt;&gt;")</f>
        <v>0</v>
      </c>
      <c r="Q1166" cm="1">
        <f t="array" ref="Q1166">SUMPRODUCT((keyword_comparison[record_identifier]=keyword_comparison[[#This Row],[record_identifier]])*(LEN(keyword_comparison[keyword_matcher_output])&gt;0))</f>
        <v>0</v>
      </c>
    </row>
    <row r="1167" spans="1:17" x14ac:dyDescent="0.25">
      <c r="A1167" t="s">
        <v>909</v>
      </c>
      <c r="B1167" t="s">
        <v>910</v>
      </c>
      <c r="C1167" t="s">
        <v>911</v>
      </c>
      <c r="D1167" t="s">
        <v>20</v>
      </c>
      <c r="E1167" t="s">
        <v>33</v>
      </c>
      <c r="H1167" t="s">
        <v>54</v>
      </c>
      <c r="J1167" t="s">
        <v>217</v>
      </c>
      <c r="K1167" t="s">
        <v>218</v>
      </c>
      <c r="M1167">
        <v>9.0300000000000005E-2</v>
      </c>
      <c r="N1167">
        <v>15</v>
      </c>
      <c r="P1167">
        <f>COUNTIFS(keyword_comparison[record_identifier],keyword_comparison[[#This Row],[record_identifier]],keyword_comparison[Review],"&lt;&gt;")</f>
        <v>0</v>
      </c>
      <c r="Q1167" cm="1">
        <f t="array" ref="Q1167">SUMPRODUCT((keyword_comparison[record_identifier]=keyword_comparison[[#This Row],[record_identifier]])*(LEN(keyword_comparison[keyword_matcher_output])&gt;0))</f>
        <v>0</v>
      </c>
    </row>
    <row r="1168" spans="1:17" x14ac:dyDescent="0.25">
      <c r="A1168" t="s">
        <v>909</v>
      </c>
      <c r="B1168" t="s">
        <v>910</v>
      </c>
      <c r="C1168" t="s">
        <v>911</v>
      </c>
      <c r="D1168" t="s">
        <v>20</v>
      </c>
      <c r="E1168" t="s">
        <v>33</v>
      </c>
      <c r="H1168" t="s">
        <v>54</v>
      </c>
      <c r="J1168" t="s">
        <v>815</v>
      </c>
      <c r="K1168" t="s">
        <v>816</v>
      </c>
      <c r="M1168">
        <v>6.8000000000000005E-2</v>
      </c>
      <c r="N1168">
        <v>16</v>
      </c>
      <c r="P1168">
        <f>COUNTIFS(keyword_comparison[record_identifier],keyword_comparison[[#This Row],[record_identifier]],keyword_comparison[Review],"&lt;&gt;")</f>
        <v>0</v>
      </c>
      <c r="Q1168" cm="1">
        <f t="array" ref="Q1168">SUMPRODUCT((keyword_comparison[record_identifier]=keyword_comparison[[#This Row],[record_identifier]])*(LEN(keyword_comparison[keyword_matcher_output])&gt;0))</f>
        <v>0</v>
      </c>
    </row>
    <row r="1169" spans="1:17" x14ac:dyDescent="0.25">
      <c r="A1169" t="s">
        <v>909</v>
      </c>
      <c r="B1169" t="s">
        <v>910</v>
      </c>
      <c r="C1169" t="s">
        <v>911</v>
      </c>
      <c r="D1169" t="s">
        <v>20</v>
      </c>
      <c r="E1169" t="s">
        <v>48</v>
      </c>
      <c r="H1169" t="s">
        <v>54</v>
      </c>
      <c r="J1169" t="s">
        <v>767</v>
      </c>
      <c r="K1169" t="s">
        <v>546</v>
      </c>
      <c r="P1169">
        <f>COUNTIFS(keyword_comparison[record_identifier],keyword_comparison[[#This Row],[record_identifier]],keyword_comparison[Review],"&lt;&gt;")</f>
        <v>0</v>
      </c>
      <c r="Q1169" cm="1">
        <f t="array" ref="Q1169">SUMPRODUCT((keyword_comparison[record_identifier]=keyword_comparison[[#This Row],[record_identifier]])*(LEN(keyword_comparison[keyword_matcher_output])&gt;0))</f>
        <v>0</v>
      </c>
    </row>
    <row r="1170" spans="1:17" x14ac:dyDescent="0.25">
      <c r="A1170" t="s">
        <v>909</v>
      </c>
      <c r="B1170" t="s">
        <v>910</v>
      </c>
      <c r="C1170" t="s">
        <v>911</v>
      </c>
      <c r="D1170" t="s">
        <v>20</v>
      </c>
      <c r="E1170" t="s">
        <v>48</v>
      </c>
      <c r="H1170" t="s">
        <v>54</v>
      </c>
      <c r="J1170" t="s">
        <v>545</v>
      </c>
      <c r="K1170" t="s">
        <v>546</v>
      </c>
      <c r="P1170">
        <f>COUNTIFS(keyword_comparison[record_identifier],keyword_comparison[[#This Row],[record_identifier]],keyword_comparison[Review],"&lt;&gt;")</f>
        <v>0</v>
      </c>
      <c r="Q1170" cm="1">
        <f t="array" ref="Q1170">SUMPRODUCT((keyword_comparison[record_identifier]=keyword_comparison[[#This Row],[record_identifier]])*(LEN(keyword_comparison[keyword_matcher_output])&gt;0))</f>
        <v>0</v>
      </c>
    </row>
    <row r="1171" spans="1:17" x14ac:dyDescent="0.25">
      <c r="A1171" t="s">
        <v>909</v>
      </c>
      <c r="B1171" t="s">
        <v>910</v>
      </c>
      <c r="C1171" t="s">
        <v>911</v>
      </c>
      <c r="D1171" t="s">
        <v>20</v>
      </c>
      <c r="E1171" t="s">
        <v>48</v>
      </c>
      <c r="H1171" t="s">
        <v>54</v>
      </c>
      <c r="J1171" t="s">
        <v>917</v>
      </c>
      <c r="K1171" t="s">
        <v>422</v>
      </c>
      <c r="P1171">
        <f>COUNTIFS(keyword_comparison[record_identifier],keyword_comparison[[#This Row],[record_identifier]],keyword_comparison[Review],"&lt;&gt;")</f>
        <v>0</v>
      </c>
      <c r="Q1171" cm="1">
        <f t="array" ref="Q1171">SUMPRODUCT((keyword_comparison[record_identifier]=keyword_comparison[[#This Row],[record_identifier]])*(LEN(keyword_comparison[keyword_matcher_output])&gt;0))</f>
        <v>0</v>
      </c>
    </row>
    <row r="1172" spans="1:17" x14ac:dyDescent="0.25">
      <c r="A1172" t="s">
        <v>909</v>
      </c>
      <c r="B1172" t="s">
        <v>910</v>
      </c>
      <c r="C1172" t="s">
        <v>911</v>
      </c>
      <c r="D1172" t="s">
        <v>20</v>
      </c>
      <c r="E1172" t="s">
        <v>48</v>
      </c>
      <c r="H1172" t="s">
        <v>54</v>
      </c>
      <c r="J1172" t="s">
        <v>917</v>
      </c>
      <c r="K1172" t="s">
        <v>918</v>
      </c>
      <c r="P1172">
        <f>COUNTIFS(keyword_comparison[record_identifier],keyword_comparison[[#This Row],[record_identifier]],keyword_comparison[Review],"&lt;&gt;")</f>
        <v>0</v>
      </c>
      <c r="Q1172" cm="1">
        <f t="array" ref="Q1172">SUMPRODUCT((keyword_comparison[record_identifier]=keyword_comparison[[#This Row],[record_identifier]])*(LEN(keyword_comparison[keyword_matcher_output])&gt;0))</f>
        <v>0</v>
      </c>
    </row>
    <row r="1173" spans="1:17" x14ac:dyDescent="0.25">
      <c r="A1173" t="s">
        <v>909</v>
      </c>
      <c r="B1173" t="s">
        <v>910</v>
      </c>
      <c r="C1173" t="s">
        <v>911</v>
      </c>
      <c r="D1173" t="s">
        <v>20</v>
      </c>
      <c r="E1173" t="s">
        <v>48</v>
      </c>
      <c r="H1173" t="s">
        <v>54</v>
      </c>
      <c r="J1173" t="s">
        <v>84</v>
      </c>
      <c r="K1173" t="s">
        <v>85</v>
      </c>
      <c r="P1173">
        <f>COUNTIFS(keyword_comparison[record_identifier],keyword_comparison[[#This Row],[record_identifier]],keyword_comparison[Review],"&lt;&gt;")</f>
        <v>0</v>
      </c>
      <c r="Q1173" cm="1">
        <f t="array" ref="Q1173">SUMPRODUCT((keyword_comparison[record_identifier]=keyword_comparison[[#This Row],[record_identifier]])*(LEN(keyword_comparison[keyword_matcher_output])&gt;0))</f>
        <v>0</v>
      </c>
    </row>
    <row r="1174" spans="1:17" x14ac:dyDescent="0.25">
      <c r="A1174" t="s">
        <v>909</v>
      </c>
      <c r="B1174" t="s">
        <v>910</v>
      </c>
      <c r="C1174" t="s">
        <v>911</v>
      </c>
      <c r="D1174" t="s">
        <v>20</v>
      </c>
      <c r="E1174" t="s">
        <v>48</v>
      </c>
      <c r="H1174" t="s">
        <v>54</v>
      </c>
      <c r="J1174" t="s">
        <v>441</v>
      </c>
      <c r="K1174" t="s">
        <v>442</v>
      </c>
      <c r="P1174">
        <f>COUNTIFS(keyword_comparison[record_identifier],keyword_comparison[[#This Row],[record_identifier]],keyword_comparison[Review],"&lt;&gt;")</f>
        <v>0</v>
      </c>
      <c r="Q1174" cm="1">
        <f t="array" ref="Q1174">SUMPRODUCT((keyword_comparison[record_identifier]=keyword_comparison[[#This Row],[record_identifier]])*(LEN(keyword_comparison[keyword_matcher_output])&gt;0))</f>
        <v>0</v>
      </c>
    </row>
    <row r="1175" spans="1:17" x14ac:dyDescent="0.25">
      <c r="A1175" t="s">
        <v>909</v>
      </c>
      <c r="B1175" t="s">
        <v>910</v>
      </c>
      <c r="C1175" t="s">
        <v>911</v>
      </c>
      <c r="D1175" t="s">
        <v>20</v>
      </c>
      <c r="E1175" t="s">
        <v>48</v>
      </c>
      <c r="H1175" t="s">
        <v>54</v>
      </c>
      <c r="J1175" t="s">
        <v>204</v>
      </c>
      <c r="K1175" t="s">
        <v>205</v>
      </c>
      <c r="L1175" t="b">
        <v>1</v>
      </c>
      <c r="P1175">
        <f>COUNTIFS(keyword_comparison[record_identifier],keyword_comparison[[#This Row],[record_identifier]],keyword_comparison[Review],"&lt;&gt;")</f>
        <v>0</v>
      </c>
      <c r="Q1175" cm="1">
        <f t="array" ref="Q1175">SUMPRODUCT((keyword_comparison[record_identifier]=keyword_comparison[[#This Row],[record_identifier]])*(LEN(keyword_comparison[keyword_matcher_output])&gt;0))</f>
        <v>0</v>
      </c>
    </row>
    <row r="1176" spans="1:17" x14ac:dyDescent="0.25">
      <c r="A1176" t="s">
        <v>909</v>
      </c>
      <c r="B1176" t="s">
        <v>910</v>
      </c>
      <c r="C1176" t="s">
        <v>911</v>
      </c>
      <c r="D1176" t="s">
        <v>20</v>
      </c>
      <c r="E1176" t="s">
        <v>48</v>
      </c>
      <c r="H1176" t="s">
        <v>54</v>
      </c>
      <c r="J1176" t="s">
        <v>255</v>
      </c>
      <c r="K1176" t="s">
        <v>256</v>
      </c>
      <c r="P1176">
        <f>COUNTIFS(keyword_comparison[record_identifier],keyword_comparison[[#This Row],[record_identifier]],keyword_comparison[Review],"&lt;&gt;")</f>
        <v>0</v>
      </c>
      <c r="Q1176" cm="1">
        <f t="array" ref="Q1176">SUMPRODUCT((keyword_comparison[record_identifier]=keyword_comparison[[#This Row],[record_identifier]])*(LEN(keyword_comparison[keyword_matcher_output])&gt;0))</f>
        <v>0</v>
      </c>
    </row>
    <row r="1177" spans="1:17" x14ac:dyDescent="0.25">
      <c r="A1177" t="s">
        <v>909</v>
      </c>
      <c r="B1177" t="s">
        <v>910</v>
      </c>
      <c r="C1177" t="s">
        <v>911</v>
      </c>
      <c r="D1177" t="s">
        <v>20</v>
      </c>
      <c r="E1177" t="s">
        <v>48</v>
      </c>
      <c r="H1177" t="s">
        <v>54</v>
      </c>
      <c r="J1177" t="s">
        <v>199</v>
      </c>
      <c r="K1177" t="s">
        <v>200</v>
      </c>
      <c r="P1177">
        <f>COUNTIFS(keyword_comparison[record_identifier],keyword_comparison[[#This Row],[record_identifier]],keyword_comparison[Review],"&lt;&gt;")</f>
        <v>0</v>
      </c>
      <c r="Q1177" cm="1">
        <f t="array" ref="Q1177">SUMPRODUCT((keyword_comparison[record_identifier]=keyword_comparison[[#This Row],[record_identifier]])*(LEN(keyword_comparison[keyword_matcher_output])&gt;0))</f>
        <v>0</v>
      </c>
    </row>
    <row r="1178" spans="1:17" x14ac:dyDescent="0.25">
      <c r="A1178" t="s">
        <v>909</v>
      </c>
      <c r="B1178" t="s">
        <v>910</v>
      </c>
      <c r="C1178" t="s">
        <v>911</v>
      </c>
      <c r="D1178" t="s">
        <v>20</v>
      </c>
      <c r="E1178" t="s">
        <v>48</v>
      </c>
      <c r="H1178" t="s">
        <v>54</v>
      </c>
      <c r="J1178" t="s">
        <v>63</v>
      </c>
      <c r="K1178" t="s">
        <v>24</v>
      </c>
      <c r="P1178">
        <f>COUNTIFS(keyword_comparison[record_identifier],keyword_comparison[[#This Row],[record_identifier]],keyword_comparison[Review],"&lt;&gt;")</f>
        <v>0</v>
      </c>
      <c r="Q1178" cm="1">
        <f t="array" ref="Q1178">SUMPRODUCT((keyword_comparison[record_identifier]=keyword_comparison[[#This Row],[record_identifier]])*(LEN(keyword_comparison[keyword_matcher_output])&gt;0))</f>
        <v>0</v>
      </c>
    </row>
    <row r="1179" spans="1:17" x14ac:dyDescent="0.25">
      <c r="A1179" t="s">
        <v>909</v>
      </c>
      <c r="B1179" t="s">
        <v>910</v>
      </c>
      <c r="C1179" t="s">
        <v>911</v>
      </c>
      <c r="D1179" t="s">
        <v>20</v>
      </c>
      <c r="E1179" t="s">
        <v>53</v>
      </c>
      <c r="F1179" t="s">
        <v>54</v>
      </c>
      <c r="G1179" t="s">
        <v>54</v>
      </c>
      <c r="H1179" t="s">
        <v>54</v>
      </c>
      <c r="J1179" t="s">
        <v>204</v>
      </c>
      <c r="K1179" t="s">
        <v>205</v>
      </c>
      <c r="O1179">
        <v>1</v>
      </c>
      <c r="P1179">
        <f>COUNTIFS(keyword_comparison[record_identifier],keyword_comparison[[#This Row],[record_identifier]],keyword_comparison[Review],"&lt;&gt;")</f>
        <v>0</v>
      </c>
      <c r="Q1179" cm="1">
        <f t="array" ref="Q1179">SUMPRODUCT((keyword_comparison[record_identifier]=keyword_comparison[[#This Row],[record_identifier]])*(LEN(keyword_comparison[keyword_matcher_output])&gt;0))</f>
        <v>0</v>
      </c>
    </row>
    <row r="1180" spans="1:17" x14ac:dyDescent="0.25">
      <c r="A1180" t="s">
        <v>909</v>
      </c>
      <c r="B1180" t="s">
        <v>910</v>
      </c>
      <c r="C1180" t="s">
        <v>911</v>
      </c>
      <c r="D1180" t="s">
        <v>20</v>
      </c>
      <c r="E1180" t="s">
        <v>53</v>
      </c>
      <c r="F1180" t="s">
        <v>54</v>
      </c>
      <c r="G1180" t="s">
        <v>54</v>
      </c>
      <c r="H1180" t="s">
        <v>54</v>
      </c>
      <c r="J1180" t="s">
        <v>255</v>
      </c>
      <c r="K1180" t="s">
        <v>256</v>
      </c>
      <c r="O1180">
        <v>2</v>
      </c>
      <c r="P1180">
        <f>COUNTIFS(keyword_comparison[record_identifier],keyword_comparison[[#This Row],[record_identifier]],keyword_comparison[Review],"&lt;&gt;")</f>
        <v>0</v>
      </c>
      <c r="Q1180" cm="1">
        <f t="array" ref="Q1180">SUMPRODUCT((keyword_comparison[record_identifier]=keyword_comparison[[#This Row],[record_identifier]])*(LEN(keyword_comparison[keyword_matcher_output])&gt;0))</f>
        <v>0</v>
      </c>
    </row>
    <row r="1181" spans="1:17" x14ac:dyDescent="0.25">
      <c r="A1181" t="s">
        <v>909</v>
      </c>
      <c r="B1181" t="s">
        <v>910</v>
      </c>
      <c r="C1181" t="s">
        <v>911</v>
      </c>
      <c r="D1181" t="s">
        <v>20</v>
      </c>
      <c r="E1181" t="s">
        <v>53</v>
      </c>
      <c r="F1181" t="s">
        <v>54</v>
      </c>
      <c r="G1181" t="s">
        <v>54</v>
      </c>
      <c r="H1181" t="s">
        <v>54</v>
      </c>
      <c r="J1181" t="s">
        <v>917</v>
      </c>
      <c r="K1181" t="s">
        <v>422</v>
      </c>
      <c r="O1181">
        <v>3</v>
      </c>
      <c r="P1181">
        <f>COUNTIFS(keyword_comparison[record_identifier],keyword_comparison[[#This Row],[record_identifier]],keyword_comparison[Review],"&lt;&gt;")</f>
        <v>0</v>
      </c>
      <c r="Q1181" cm="1">
        <f t="array" ref="Q1181">SUMPRODUCT((keyword_comparison[record_identifier]=keyword_comparison[[#This Row],[record_identifier]])*(LEN(keyword_comparison[keyword_matcher_output])&gt;0))</f>
        <v>0</v>
      </c>
    </row>
    <row r="1182" spans="1:17" x14ac:dyDescent="0.25">
      <c r="A1182" t="s">
        <v>909</v>
      </c>
      <c r="B1182" t="s">
        <v>910</v>
      </c>
      <c r="C1182" t="s">
        <v>911</v>
      </c>
      <c r="D1182" t="s">
        <v>20</v>
      </c>
      <c r="E1182" t="s">
        <v>53</v>
      </c>
      <c r="F1182" t="s">
        <v>54</v>
      </c>
      <c r="G1182" t="s">
        <v>54</v>
      </c>
      <c r="H1182" t="s">
        <v>54</v>
      </c>
      <c r="J1182" t="s">
        <v>917</v>
      </c>
      <c r="K1182" t="s">
        <v>918</v>
      </c>
      <c r="O1182">
        <v>3</v>
      </c>
      <c r="P1182">
        <f>COUNTIFS(keyword_comparison[record_identifier],keyword_comparison[[#This Row],[record_identifier]],keyword_comparison[Review],"&lt;&gt;")</f>
        <v>0</v>
      </c>
      <c r="Q1182" cm="1">
        <f t="array" ref="Q1182">SUMPRODUCT((keyword_comparison[record_identifier]=keyword_comparison[[#This Row],[record_identifier]])*(LEN(keyword_comparison[keyword_matcher_output])&gt;0))</f>
        <v>0</v>
      </c>
    </row>
    <row r="1183" spans="1:17" x14ac:dyDescent="0.25">
      <c r="A1183" t="s">
        <v>909</v>
      </c>
      <c r="B1183" t="s">
        <v>910</v>
      </c>
      <c r="C1183" t="s">
        <v>911</v>
      </c>
      <c r="D1183" t="s">
        <v>20</v>
      </c>
      <c r="E1183" t="s">
        <v>53</v>
      </c>
      <c r="F1183" t="s">
        <v>54</v>
      </c>
      <c r="G1183" t="s">
        <v>54</v>
      </c>
      <c r="H1183" t="s">
        <v>54</v>
      </c>
      <c r="J1183" t="s">
        <v>318</v>
      </c>
      <c r="K1183" t="s">
        <v>319</v>
      </c>
      <c r="O1183">
        <v>4</v>
      </c>
      <c r="P1183">
        <f>COUNTIFS(keyword_comparison[record_identifier],keyword_comparison[[#This Row],[record_identifier]],keyword_comparison[Review],"&lt;&gt;")</f>
        <v>0</v>
      </c>
      <c r="Q1183" cm="1">
        <f t="array" ref="Q1183">SUMPRODUCT((keyword_comparison[record_identifier]=keyword_comparison[[#This Row],[record_identifier]])*(LEN(keyword_comparison[keyword_matcher_output])&gt;0))</f>
        <v>0</v>
      </c>
    </row>
    <row r="1184" spans="1:17" x14ac:dyDescent="0.25">
      <c r="A1184" t="s">
        <v>909</v>
      </c>
      <c r="B1184" t="s">
        <v>910</v>
      </c>
      <c r="C1184" t="s">
        <v>911</v>
      </c>
      <c r="D1184" t="s">
        <v>20</v>
      </c>
      <c r="E1184" t="s">
        <v>53</v>
      </c>
      <c r="F1184" t="s">
        <v>54</v>
      </c>
      <c r="G1184" t="s">
        <v>54</v>
      </c>
      <c r="H1184" t="s">
        <v>54</v>
      </c>
      <c r="J1184" t="s">
        <v>781</v>
      </c>
      <c r="K1184" t="s">
        <v>782</v>
      </c>
      <c r="O1184">
        <v>5</v>
      </c>
      <c r="P1184">
        <f>COUNTIFS(keyword_comparison[record_identifier],keyword_comparison[[#This Row],[record_identifier]],keyword_comparison[Review],"&lt;&gt;")</f>
        <v>0</v>
      </c>
      <c r="Q1184" cm="1">
        <f t="array" ref="Q1184">SUMPRODUCT((keyword_comparison[record_identifier]=keyword_comparison[[#This Row],[record_identifier]])*(LEN(keyword_comparison[keyword_matcher_output])&gt;0))</f>
        <v>0</v>
      </c>
    </row>
    <row r="1185" spans="1:17" x14ac:dyDescent="0.25">
      <c r="A1185" t="s">
        <v>909</v>
      </c>
      <c r="B1185" t="s">
        <v>910</v>
      </c>
      <c r="C1185" t="s">
        <v>911</v>
      </c>
      <c r="D1185" t="s">
        <v>20</v>
      </c>
      <c r="E1185" t="s">
        <v>53</v>
      </c>
      <c r="F1185" t="s">
        <v>54</v>
      </c>
      <c r="G1185" t="s">
        <v>54</v>
      </c>
      <c r="H1185" t="s">
        <v>54</v>
      </c>
      <c r="J1185" t="s">
        <v>567</v>
      </c>
      <c r="K1185" t="s">
        <v>568</v>
      </c>
      <c r="O1185">
        <v>6</v>
      </c>
      <c r="P1185">
        <f>COUNTIFS(keyword_comparison[record_identifier],keyword_comparison[[#This Row],[record_identifier]],keyword_comparison[Review],"&lt;&gt;")</f>
        <v>0</v>
      </c>
      <c r="Q1185" cm="1">
        <f t="array" ref="Q1185">SUMPRODUCT((keyword_comparison[record_identifier]=keyword_comparison[[#This Row],[record_identifier]])*(LEN(keyword_comparison[keyword_matcher_output])&gt;0))</f>
        <v>0</v>
      </c>
    </row>
    <row r="1186" spans="1:17" x14ac:dyDescent="0.25">
      <c r="A1186" t="s">
        <v>909</v>
      </c>
      <c r="B1186" t="s">
        <v>910</v>
      </c>
      <c r="C1186" t="s">
        <v>911</v>
      </c>
      <c r="D1186" t="s">
        <v>20</v>
      </c>
      <c r="E1186" t="s">
        <v>53</v>
      </c>
      <c r="F1186" t="s">
        <v>54</v>
      </c>
      <c r="G1186" t="s">
        <v>54</v>
      </c>
      <c r="H1186" t="s">
        <v>54</v>
      </c>
      <c r="J1186" t="s">
        <v>561</v>
      </c>
      <c r="K1186" t="s">
        <v>562</v>
      </c>
      <c r="O1186">
        <v>7</v>
      </c>
      <c r="P1186">
        <f>COUNTIFS(keyword_comparison[record_identifier],keyword_comparison[[#This Row],[record_identifier]],keyword_comparison[Review],"&lt;&gt;")</f>
        <v>0</v>
      </c>
      <c r="Q1186" cm="1">
        <f t="array" ref="Q1186">SUMPRODUCT((keyword_comparison[record_identifier]=keyword_comparison[[#This Row],[record_identifier]])*(LEN(keyword_comparison[keyword_matcher_output])&gt;0))</f>
        <v>0</v>
      </c>
    </row>
    <row r="1187" spans="1:17" x14ac:dyDescent="0.25">
      <c r="A1187" t="s">
        <v>909</v>
      </c>
      <c r="B1187" t="s">
        <v>910</v>
      </c>
      <c r="C1187" t="s">
        <v>911</v>
      </c>
      <c r="D1187" t="s">
        <v>20</v>
      </c>
      <c r="E1187" t="s">
        <v>53</v>
      </c>
      <c r="F1187" t="s">
        <v>54</v>
      </c>
      <c r="G1187" t="s">
        <v>54</v>
      </c>
      <c r="H1187" t="s">
        <v>54</v>
      </c>
      <c r="J1187" t="s">
        <v>211</v>
      </c>
      <c r="K1187" t="s">
        <v>212</v>
      </c>
      <c r="O1187">
        <v>8</v>
      </c>
      <c r="P1187">
        <f>COUNTIFS(keyword_comparison[record_identifier],keyword_comparison[[#This Row],[record_identifier]],keyword_comparison[Review],"&lt;&gt;")</f>
        <v>0</v>
      </c>
      <c r="Q1187" cm="1">
        <f t="array" ref="Q1187">SUMPRODUCT((keyword_comparison[record_identifier]=keyword_comparison[[#This Row],[record_identifier]])*(LEN(keyword_comparison[keyword_matcher_output])&gt;0))</f>
        <v>0</v>
      </c>
    </row>
    <row r="1188" spans="1:17" x14ac:dyDescent="0.25">
      <c r="A1188" t="s">
        <v>909</v>
      </c>
      <c r="B1188" t="s">
        <v>910</v>
      </c>
      <c r="C1188" t="s">
        <v>911</v>
      </c>
      <c r="D1188" t="s">
        <v>20</v>
      </c>
      <c r="E1188" t="s">
        <v>53</v>
      </c>
      <c r="F1188" t="s">
        <v>54</v>
      </c>
      <c r="G1188" t="s">
        <v>54</v>
      </c>
      <c r="H1188" t="s">
        <v>54</v>
      </c>
      <c r="J1188" t="s">
        <v>199</v>
      </c>
      <c r="K1188" t="s">
        <v>200</v>
      </c>
      <c r="O1188">
        <v>9</v>
      </c>
      <c r="P1188">
        <f>COUNTIFS(keyword_comparison[record_identifier],keyword_comparison[[#This Row],[record_identifier]],keyword_comparison[Review],"&lt;&gt;")</f>
        <v>0</v>
      </c>
      <c r="Q1188" cm="1">
        <f t="array" ref="Q1188">SUMPRODUCT((keyword_comparison[record_identifier]=keyword_comparison[[#This Row],[record_identifier]])*(LEN(keyword_comparison[keyword_matcher_output])&gt;0))</f>
        <v>0</v>
      </c>
    </row>
    <row r="1189" spans="1:17" x14ac:dyDescent="0.25">
      <c r="A1189" t="s">
        <v>909</v>
      </c>
      <c r="B1189" t="s">
        <v>910</v>
      </c>
      <c r="C1189" t="s">
        <v>911</v>
      </c>
      <c r="D1189" t="s">
        <v>20</v>
      </c>
      <c r="E1189" t="s">
        <v>53</v>
      </c>
      <c r="F1189" t="s">
        <v>54</v>
      </c>
      <c r="G1189" t="s">
        <v>54</v>
      </c>
      <c r="H1189" t="s">
        <v>54</v>
      </c>
      <c r="J1189" t="s">
        <v>719</v>
      </c>
      <c r="K1189" t="s">
        <v>24</v>
      </c>
      <c r="O1189">
        <v>10</v>
      </c>
      <c r="P1189">
        <f>COUNTIFS(keyword_comparison[record_identifier],keyword_comparison[[#This Row],[record_identifier]],keyword_comparison[Review],"&lt;&gt;")</f>
        <v>0</v>
      </c>
      <c r="Q1189" cm="1">
        <f t="array" ref="Q1189">SUMPRODUCT((keyword_comparison[record_identifier]=keyword_comparison[[#This Row],[record_identifier]])*(LEN(keyword_comparison[keyword_matcher_output])&gt;0))</f>
        <v>0</v>
      </c>
    </row>
    <row r="1190" spans="1:17" x14ac:dyDescent="0.25">
      <c r="A1190" t="s">
        <v>919</v>
      </c>
      <c r="B1190" t="s">
        <v>920</v>
      </c>
      <c r="C1190" t="s">
        <v>921</v>
      </c>
      <c r="D1190" t="s">
        <v>20</v>
      </c>
      <c r="E1190" t="s">
        <v>33</v>
      </c>
      <c r="H1190" t="s">
        <v>54</v>
      </c>
      <c r="J1190" t="s">
        <v>204</v>
      </c>
      <c r="K1190" t="s">
        <v>205</v>
      </c>
      <c r="L1190" t="b">
        <v>1</v>
      </c>
      <c r="M1190">
        <v>0.99929999999999997</v>
      </c>
      <c r="N1190">
        <v>1</v>
      </c>
      <c r="P1190">
        <f>COUNTIFS(keyword_comparison[record_identifier],keyword_comparison[[#This Row],[record_identifier]],keyword_comparison[Review],"&lt;&gt;")</f>
        <v>0</v>
      </c>
      <c r="Q1190" cm="1">
        <f t="array" ref="Q1190">SUMPRODUCT((keyword_comparison[record_identifier]=keyword_comparison[[#This Row],[record_identifier]])*(LEN(keyword_comparison[keyword_matcher_output])&gt;0))</f>
        <v>0</v>
      </c>
    </row>
    <row r="1191" spans="1:17" x14ac:dyDescent="0.25">
      <c r="A1191" t="s">
        <v>919</v>
      </c>
      <c r="B1191" t="s">
        <v>920</v>
      </c>
      <c r="C1191" t="s">
        <v>921</v>
      </c>
      <c r="D1191" t="s">
        <v>20</v>
      </c>
      <c r="E1191" t="s">
        <v>33</v>
      </c>
      <c r="H1191" t="s">
        <v>54</v>
      </c>
      <c r="J1191" t="s">
        <v>473</v>
      </c>
      <c r="K1191" t="s">
        <v>474</v>
      </c>
      <c r="M1191">
        <v>0.99650000000000005</v>
      </c>
      <c r="N1191">
        <v>2</v>
      </c>
      <c r="P1191">
        <f>COUNTIFS(keyword_comparison[record_identifier],keyword_comparison[[#This Row],[record_identifier]],keyword_comparison[Review],"&lt;&gt;")</f>
        <v>0</v>
      </c>
      <c r="Q1191" cm="1">
        <f t="array" ref="Q1191">SUMPRODUCT((keyword_comparison[record_identifier]=keyword_comparison[[#This Row],[record_identifier]])*(LEN(keyword_comparison[keyword_matcher_output])&gt;0))</f>
        <v>0</v>
      </c>
    </row>
    <row r="1192" spans="1:17" x14ac:dyDescent="0.25">
      <c r="A1192" t="s">
        <v>919</v>
      </c>
      <c r="B1192" t="s">
        <v>920</v>
      </c>
      <c r="C1192" t="s">
        <v>921</v>
      </c>
      <c r="D1192" t="s">
        <v>20</v>
      </c>
      <c r="E1192" t="s">
        <v>33</v>
      </c>
      <c r="H1192" t="s">
        <v>54</v>
      </c>
      <c r="J1192" t="s">
        <v>922</v>
      </c>
      <c r="K1192" t="s">
        <v>923</v>
      </c>
      <c r="L1192" t="b">
        <v>1</v>
      </c>
      <c r="M1192">
        <v>0.9748</v>
      </c>
      <c r="N1192">
        <v>3</v>
      </c>
      <c r="P1192">
        <f>COUNTIFS(keyword_comparison[record_identifier],keyword_comparison[[#This Row],[record_identifier]],keyword_comparison[Review],"&lt;&gt;")</f>
        <v>0</v>
      </c>
      <c r="Q1192" cm="1">
        <f t="array" ref="Q1192">SUMPRODUCT((keyword_comparison[record_identifier]=keyword_comparison[[#This Row],[record_identifier]])*(LEN(keyword_comparison[keyword_matcher_output])&gt;0))</f>
        <v>0</v>
      </c>
    </row>
    <row r="1193" spans="1:17" x14ac:dyDescent="0.25">
      <c r="A1193" t="s">
        <v>919</v>
      </c>
      <c r="B1193" t="s">
        <v>920</v>
      </c>
      <c r="C1193" t="s">
        <v>921</v>
      </c>
      <c r="D1193" t="s">
        <v>20</v>
      </c>
      <c r="E1193" t="s">
        <v>33</v>
      </c>
      <c r="H1193" t="s">
        <v>54</v>
      </c>
      <c r="J1193" t="s">
        <v>924</v>
      </c>
      <c r="K1193" t="s">
        <v>925</v>
      </c>
      <c r="M1193">
        <v>0.96899999999999997</v>
      </c>
      <c r="N1193">
        <v>4</v>
      </c>
      <c r="P1193">
        <f>COUNTIFS(keyword_comparison[record_identifier],keyword_comparison[[#This Row],[record_identifier]],keyword_comparison[Review],"&lt;&gt;")</f>
        <v>0</v>
      </c>
      <c r="Q1193" cm="1">
        <f t="array" ref="Q1193">SUMPRODUCT((keyword_comparison[record_identifier]=keyword_comparison[[#This Row],[record_identifier]])*(LEN(keyword_comparison[keyword_matcher_output])&gt;0))</f>
        <v>0</v>
      </c>
    </row>
    <row r="1194" spans="1:17" x14ac:dyDescent="0.25">
      <c r="A1194" t="s">
        <v>919</v>
      </c>
      <c r="B1194" t="s">
        <v>920</v>
      </c>
      <c r="C1194" t="s">
        <v>921</v>
      </c>
      <c r="D1194" t="s">
        <v>20</v>
      </c>
      <c r="E1194" t="s">
        <v>33</v>
      </c>
      <c r="H1194" t="s">
        <v>54</v>
      </c>
      <c r="J1194" t="s">
        <v>926</v>
      </c>
      <c r="K1194" t="s">
        <v>927</v>
      </c>
      <c r="M1194">
        <v>0.94540000000000002</v>
      </c>
      <c r="N1194">
        <v>5</v>
      </c>
      <c r="P1194">
        <f>COUNTIFS(keyword_comparison[record_identifier],keyword_comparison[[#This Row],[record_identifier]],keyword_comparison[Review],"&lt;&gt;")</f>
        <v>0</v>
      </c>
      <c r="Q1194" cm="1">
        <f t="array" ref="Q1194">SUMPRODUCT((keyword_comparison[record_identifier]=keyword_comparison[[#This Row],[record_identifier]])*(LEN(keyword_comparison[keyword_matcher_output])&gt;0))</f>
        <v>0</v>
      </c>
    </row>
    <row r="1195" spans="1:17" x14ac:dyDescent="0.25">
      <c r="A1195" t="s">
        <v>919</v>
      </c>
      <c r="B1195" t="s">
        <v>920</v>
      </c>
      <c r="C1195" t="s">
        <v>921</v>
      </c>
      <c r="D1195" t="s">
        <v>20</v>
      </c>
      <c r="E1195" t="s">
        <v>33</v>
      </c>
      <c r="H1195" t="s">
        <v>54</v>
      </c>
      <c r="J1195" t="s">
        <v>40</v>
      </c>
      <c r="K1195" t="s">
        <v>41</v>
      </c>
      <c r="M1195">
        <v>0.91110000000000002</v>
      </c>
      <c r="N1195">
        <v>6</v>
      </c>
      <c r="P1195">
        <f>COUNTIFS(keyword_comparison[record_identifier],keyword_comparison[[#This Row],[record_identifier]],keyword_comparison[Review],"&lt;&gt;")</f>
        <v>0</v>
      </c>
      <c r="Q1195" cm="1">
        <f t="array" ref="Q1195">SUMPRODUCT((keyword_comparison[record_identifier]=keyword_comparison[[#This Row],[record_identifier]])*(LEN(keyword_comparison[keyword_matcher_output])&gt;0))</f>
        <v>0</v>
      </c>
    </row>
    <row r="1196" spans="1:17" x14ac:dyDescent="0.25">
      <c r="A1196" t="s">
        <v>919</v>
      </c>
      <c r="B1196" t="s">
        <v>920</v>
      </c>
      <c r="C1196" t="s">
        <v>921</v>
      </c>
      <c r="D1196" t="s">
        <v>20</v>
      </c>
      <c r="E1196" t="s">
        <v>33</v>
      </c>
      <c r="H1196" t="s">
        <v>54</v>
      </c>
      <c r="J1196" t="s">
        <v>273</v>
      </c>
      <c r="K1196" t="s">
        <v>274</v>
      </c>
      <c r="L1196" t="b">
        <v>1</v>
      </c>
      <c r="M1196">
        <v>0.91080000000000005</v>
      </c>
      <c r="N1196">
        <v>7</v>
      </c>
      <c r="P1196">
        <f>COUNTIFS(keyword_comparison[record_identifier],keyword_comparison[[#This Row],[record_identifier]],keyword_comparison[Review],"&lt;&gt;")</f>
        <v>0</v>
      </c>
      <c r="Q1196" cm="1">
        <f t="array" ref="Q1196">SUMPRODUCT((keyword_comparison[record_identifier]=keyword_comparison[[#This Row],[record_identifier]])*(LEN(keyword_comparison[keyword_matcher_output])&gt;0))</f>
        <v>0</v>
      </c>
    </row>
    <row r="1197" spans="1:17" x14ac:dyDescent="0.25">
      <c r="A1197" t="s">
        <v>919</v>
      </c>
      <c r="B1197" t="s">
        <v>920</v>
      </c>
      <c r="C1197" t="s">
        <v>921</v>
      </c>
      <c r="D1197" t="s">
        <v>20</v>
      </c>
      <c r="E1197" t="s">
        <v>33</v>
      </c>
      <c r="H1197" t="s">
        <v>54</v>
      </c>
      <c r="J1197" t="s">
        <v>477</v>
      </c>
      <c r="K1197" t="s">
        <v>478</v>
      </c>
      <c r="M1197">
        <v>0.89559999999999995</v>
      </c>
      <c r="N1197">
        <v>8</v>
      </c>
      <c r="P1197">
        <f>COUNTIFS(keyword_comparison[record_identifier],keyword_comparison[[#This Row],[record_identifier]],keyword_comparison[Review],"&lt;&gt;")</f>
        <v>0</v>
      </c>
      <c r="Q1197" cm="1">
        <f t="array" ref="Q1197">SUMPRODUCT((keyword_comparison[record_identifier]=keyword_comparison[[#This Row],[record_identifier]])*(LEN(keyword_comparison[keyword_matcher_output])&gt;0))</f>
        <v>0</v>
      </c>
    </row>
    <row r="1198" spans="1:17" x14ac:dyDescent="0.25">
      <c r="A1198" t="s">
        <v>919</v>
      </c>
      <c r="B1198" t="s">
        <v>920</v>
      </c>
      <c r="C1198" t="s">
        <v>921</v>
      </c>
      <c r="D1198" t="s">
        <v>20</v>
      </c>
      <c r="E1198" t="s">
        <v>33</v>
      </c>
      <c r="H1198" t="s">
        <v>54</v>
      </c>
      <c r="J1198" t="s">
        <v>504</v>
      </c>
      <c r="K1198" t="s">
        <v>493</v>
      </c>
      <c r="M1198">
        <v>0.88880000000000003</v>
      </c>
      <c r="N1198">
        <v>9</v>
      </c>
      <c r="P1198">
        <f>COUNTIFS(keyword_comparison[record_identifier],keyword_comparison[[#This Row],[record_identifier]],keyword_comparison[Review],"&lt;&gt;")</f>
        <v>0</v>
      </c>
      <c r="Q1198" cm="1">
        <f t="array" ref="Q1198">SUMPRODUCT((keyword_comparison[record_identifier]=keyword_comparison[[#This Row],[record_identifier]])*(LEN(keyword_comparison[keyword_matcher_output])&gt;0))</f>
        <v>0</v>
      </c>
    </row>
    <row r="1199" spans="1:17" x14ac:dyDescent="0.25">
      <c r="A1199" t="s">
        <v>919</v>
      </c>
      <c r="B1199" t="s">
        <v>920</v>
      </c>
      <c r="C1199" t="s">
        <v>921</v>
      </c>
      <c r="D1199" t="s">
        <v>20</v>
      </c>
      <c r="E1199" t="s">
        <v>33</v>
      </c>
      <c r="H1199" t="s">
        <v>54</v>
      </c>
      <c r="J1199" t="s">
        <v>774</v>
      </c>
      <c r="K1199" t="s">
        <v>775</v>
      </c>
      <c r="M1199">
        <v>0.69099999999999995</v>
      </c>
      <c r="N1199">
        <v>10</v>
      </c>
      <c r="P1199">
        <f>COUNTIFS(keyword_comparison[record_identifier],keyword_comparison[[#This Row],[record_identifier]],keyword_comparison[Review],"&lt;&gt;")</f>
        <v>0</v>
      </c>
      <c r="Q1199" cm="1">
        <f t="array" ref="Q1199">SUMPRODUCT((keyword_comparison[record_identifier]=keyword_comparison[[#This Row],[record_identifier]])*(LEN(keyword_comparison[keyword_matcher_output])&gt;0))</f>
        <v>0</v>
      </c>
    </row>
    <row r="1200" spans="1:17" x14ac:dyDescent="0.25">
      <c r="A1200" t="s">
        <v>919</v>
      </c>
      <c r="B1200" t="s">
        <v>920</v>
      </c>
      <c r="C1200" t="s">
        <v>921</v>
      </c>
      <c r="D1200" t="s">
        <v>20</v>
      </c>
      <c r="E1200" t="s">
        <v>33</v>
      </c>
      <c r="H1200" t="s">
        <v>54</v>
      </c>
      <c r="J1200" t="s">
        <v>191</v>
      </c>
      <c r="K1200" t="s">
        <v>192</v>
      </c>
      <c r="M1200">
        <v>0.65290000000000004</v>
      </c>
      <c r="N1200">
        <v>11</v>
      </c>
      <c r="P1200">
        <f>COUNTIFS(keyword_comparison[record_identifier],keyword_comparison[[#This Row],[record_identifier]],keyword_comparison[Review],"&lt;&gt;")</f>
        <v>0</v>
      </c>
      <c r="Q1200" cm="1">
        <f t="array" ref="Q1200">SUMPRODUCT((keyword_comparison[record_identifier]=keyword_comparison[[#This Row],[record_identifier]])*(LEN(keyword_comparison[keyword_matcher_output])&gt;0))</f>
        <v>0</v>
      </c>
    </row>
    <row r="1201" spans="1:17" x14ac:dyDescent="0.25">
      <c r="A1201" t="s">
        <v>919</v>
      </c>
      <c r="B1201" t="s">
        <v>920</v>
      </c>
      <c r="C1201" t="s">
        <v>921</v>
      </c>
      <c r="D1201" t="s">
        <v>20</v>
      </c>
      <c r="E1201" t="s">
        <v>33</v>
      </c>
      <c r="H1201" t="s">
        <v>54</v>
      </c>
      <c r="J1201" t="s">
        <v>928</v>
      </c>
      <c r="K1201" t="s">
        <v>929</v>
      </c>
      <c r="M1201">
        <v>0.58420000000000005</v>
      </c>
      <c r="N1201">
        <v>12</v>
      </c>
      <c r="P1201">
        <f>COUNTIFS(keyword_comparison[record_identifier],keyword_comparison[[#This Row],[record_identifier]],keyword_comparison[Review],"&lt;&gt;")</f>
        <v>0</v>
      </c>
      <c r="Q1201" cm="1">
        <f t="array" ref="Q1201">SUMPRODUCT((keyword_comparison[record_identifier]=keyword_comparison[[#This Row],[record_identifier]])*(LEN(keyword_comparison[keyword_matcher_output])&gt;0))</f>
        <v>0</v>
      </c>
    </row>
    <row r="1202" spans="1:17" x14ac:dyDescent="0.25">
      <c r="A1202" t="s">
        <v>919</v>
      </c>
      <c r="B1202" t="s">
        <v>920</v>
      </c>
      <c r="C1202" t="s">
        <v>921</v>
      </c>
      <c r="D1202" t="s">
        <v>20</v>
      </c>
      <c r="E1202" t="s">
        <v>33</v>
      </c>
      <c r="H1202" t="s">
        <v>54</v>
      </c>
      <c r="J1202" t="s">
        <v>211</v>
      </c>
      <c r="K1202" t="s">
        <v>212</v>
      </c>
      <c r="L1202" t="b">
        <v>1</v>
      </c>
      <c r="M1202">
        <v>0.51149999999999995</v>
      </c>
      <c r="N1202">
        <v>13</v>
      </c>
      <c r="P1202">
        <f>COUNTIFS(keyword_comparison[record_identifier],keyword_comparison[[#This Row],[record_identifier]],keyword_comparison[Review],"&lt;&gt;")</f>
        <v>0</v>
      </c>
      <c r="Q1202" cm="1">
        <f t="array" ref="Q1202">SUMPRODUCT((keyword_comparison[record_identifier]=keyword_comparison[[#This Row],[record_identifier]])*(LEN(keyword_comparison[keyword_matcher_output])&gt;0))</f>
        <v>0</v>
      </c>
    </row>
    <row r="1203" spans="1:17" x14ac:dyDescent="0.25">
      <c r="A1203" t="s">
        <v>919</v>
      </c>
      <c r="B1203" t="s">
        <v>920</v>
      </c>
      <c r="C1203" t="s">
        <v>921</v>
      </c>
      <c r="D1203" t="s">
        <v>20</v>
      </c>
      <c r="E1203" t="s">
        <v>33</v>
      </c>
      <c r="H1203" t="s">
        <v>54</v>
      </c>
      <c r="J1203" t="s">
        <v>300</v>
      </c>
      <c r="K1203" t="s">
        <v>301</v>
      </c>
      <c r="L1203" t="b">
        <v>1</v>
      </c>
      <c r="M1203">
        <v>0.49280000000000002</v>
      </c>
      <c r="N1203">
        <v>14</v>
      </c>
      <c r="P1203">
        <f>COUNTIFS(keyword_comparison[record_identifier],keyword_comparison[[#This Row],[record_identifier]],keyword_comparison[Review],"&lt;&gt;")</f>
        <v>0</v>
      </c>
      <c r="Q1203" cm="1">
        <f t="array" ref="Q1203">SUMPRODUCT((keyword_comparison[record_identifier]=keyword_comparison[[#This Row],[record_identifier]])*(LEN(keyword_comparison[keyword_matcher_output])&gt;0))</f>
        <v>0</v>
      </c>
    </row>
    <row r="1204" spans="1:17" x14ac:dyDescent="0.25">
      <c r="A1204" t="s">
        <v>919</v>
      </c>
      <c r="B1204" t="s">
        <v>920</v>
      </c>
      <c r="C1204" t="s">
        <v>921</v>
      </c>
      <c r="D1204" t="s">
        <v>20</v>
      </c>
      <c r="E1204" t="s">
        <v>33</v>
      </c>
      <c r="H1204" t="s">
        <v>54</v>
      </c>
      <c r="J1204" t="s">
        <v>222</v>
      </c>
      <c r="K1204" t="s">
        <v>223</v>
      </c>
      <c r="M1204">
        <v>0.47010000000000002</v>
      </c>
      <c r="N1204">
        <v>15</v>
      </c>
      <c r="P1204">
        <f>COUNTIFS(keyword_comparison[record_identifier],keyword_comparison[[#This Row],[record_identifier]],keyword_comparison[Review],"&lt;&gt;")</f>
        <v>0</v>
      </c>
      <c r="Q1204" cm="1">
        <f t="array" ref="Q1204">SUMPRODUCT((keyword_comparison[record_identifier]=keyword_comparison[[#This Row],[record_identifier]])*(LEN(keyword_comparison[keyword_matcher_output])&gt;0))</f>
        <v>0</v>
      </c>
    </row>
    <row r="1205" spans="1:17" x14ac:dyDescent="0.25">
      <c r="A1205" t="s">
        <v>919</v>
      </c>
      <c r="B1205" t="s">
        <v>920</v>
      </c>
      <c r="C1205" t="s">
        <v>921</v>
      </c>
      <c r="D1205" t="s">
        <v>20</v>
      </c>
      <c r="E1205" t="s">
        <v>33</v>
      </c>
      <c r="H1205" t="s">
        <v>54</v>
      </c>
      <c r="J1205" t="s">
        <v>186</v>
      </c>
      <c r="K1205" t="s">
        <v>174</v>
      </c>
      <c r="L1205" t="b">
        <v>1</v>
      </c>
      <c r="M1205">
        <v>0.43909999999999999</v>
      </c>
      <c r="N1205">
        <v>16</v>
      </c>
      <c r="P1205">
        <f>COUNTIFS(keyword_comparison[record_identifier],keyword_comparison[[#This Row],[record_identifier]],keyword_comparison[Review],"&lt;&gt;")</f>
        <v>0</v>
      </c>
      <c r="Q1205" cm="1">
        <f t="array" ref="Q1205">SUMPRODUCT((keyword_comparison[record_identifier]=keyword_comparison[[#This Row],[record_identifier]])*(LEN(keyword_comparison[keyword_matcher_output])&gt;0))</f>
        <v>0</v>
      </c>
    </row>
    <row r="1206" spans="1:17" x14ac:dyDescent="0.25">
      <c r="A1206" t="s">
        <v>919</v>
      </c>
      <c r="B1206" t="s">
        <v>920</v>
      </c>
      <c r="C1206" t="s">
        <v>921</v>
      </c>
      <c r="D1206" t="s">
        <v>20</v>
      </c>
      <c r="E1206" t="s">
        <v>33</v>
      </c>
      <c r="H1206" t="s">
        <v>54</v>
      </c>
      <c r="J1206" t="s">
        <v>281</v>
      </c>
      <c r="K1206" t="s">
        <v>282</v>
      </c>
      <c r="M1206">
        <v>0.3664</v>
      </c>
      <c r="N1206">
        <v>17</v>
      </c>
      <c r="P1206">
        <f>COUNTIFS(keyword_comparison[record_identifier],keyword_comparison[[#This Row],[record_identifier]],keyword_comparison[Review],"&lt;&gt;")</f>
        <v>0</v>
      </c>
      <c r="Q1206" cm="1">
        <f t="array" ref="Q1206">SUMPRODUCT((keyword_comparison[record_identifier]=keyword_comparison[[#This Row],[record_identifier]])*(LEN(keyword_comparison[keyword_matcher_output])&gt;0))</f>
        <v>0</v>
      </c>
    </row>
    <row r="1207" spans="1:17" x14ac:dyDescent="0.25">
      <c r="A1207" t="s">
        <v>919</v>
      </c>
      <c r="B1207" t="s">
        <v>920</v>
      </c>
      <c r="C1207" t="s">
        <v>921</v>
      </c>
      <c r="D1207" t="s">
        <v>20</v>
      </c>
      <c r="E1207" t="s">
        <v>33</v>
      </c>
      <c r="H1207" t="s">
        <v>54</v>
      </c>
      <c r="J1207" t="s">
        <v>930</v>
      </c>
      <c r="K1207" t="s">
        <v>931</v>
      </c>
      <c r="L1207" t="b">
        <v>1</v>
      </c>
      <c r="M1207">
        <v>0.28949999999999998</v>
      </c>
      <c r="N1207">
        <v>18</v>
      </c>
      <c r="P1207">
        <f>COUNTIFS(keyword_comparison[record_identifier],keyword_comparison[[#This Row],[record_identifier]],keyword_comparison[Review],"&lt;&gt;")</f>
        <v>0</v>
      </c>
      <c r="Q1207" cm="1">
        <f t="array" ref="Q1207">SUMPRODUCT((keyword_comparison[record_identifier]=keyword_comparison[[#This Row],[record_identifier]])*(LEN(keyword_comparison[keyword_matcher_output])&gt;0))</f>
        <v>0</v>
      </c>
    </row>
    <row r="1208" spans="1:17" x14ac:dyDescent="0.25">
      <c r="A1208" t="s">
        <v>919</v>
      </c>
      <c r="B1208" t="s">
        <v>920</v>
      </c>
      <c r="C1208" t="s">
        <v>921</v>
      </c>
      <c r="D1208" t="s">
        <v>20</v>
      </c>
      <c r="E1208" t="s">
        <v>33</v>
      </c>
      <c r="H1208" t="s">
        <v>54</v>
      </c>
      <c r="J1208" t="s">
        <v>508</v>
      </c>
      <c r="K1208" t="s">
        <v>509</v>
      </c>
      <c r="M1208">
        <v>0.25640000000000002</v>
      </c>
      <c r="N1208">
        <v>19</v>
      </c>
      <c r="P1208">
        <f>COUNTIFS(keyword_comparison[record_identifier],keyword_comparison[[#This Row],[record_identifier]],keyword_comparison[Review],"&lt;&gt;")</f>
        <v>0</v>
      </c>
      <c r="Q1208" cm="1">
        <f t="array" ref="Q1208">SUMPRODUCT((keyword_comparison[record_identifier]=keyword_comparison[[#This Row],[record_identifier]])*(LEN(keyword_comparison[keyword_matcher_output])&gt;0))</f>
        <v>0</v>
      </c>
    </row>
    <row r="1209" spans="1:17" x14ac:dyDescent="0.25">
      <c r="A1209" t="s">
        <v>919</v>
      </c>
      <c r="B1209" t="s">
        <v>920</v>
      </c>
      <c r="C1209" t="s">
        <v>921</v>
      </c>
      <c r="D1209" t="s">
        <v>20</v>
      </c>
      <c r="E1209" t="s">
        <v>33</v>
      </c>
      <c r="H1209" t="s">
        <v>54</v>
      </c>
      <c r="J1209" t="s">
        <v>932</v>
      </c>
      <c r="K1209" t="s">
        <v>933</v>
      </c>
      <c r="M1209">
        <v>0.23130000000000001</v>
      </c>
      <c r="N1209">
        <v>20</v>
      </c>
      <c r="P1209">
        <f>COUNTIFS(keyword_comparison[record_identifier],keyword_comparison[[#This Row],[record_identifier]],keyword_comparison[Review],"&lt;&gt;")</f>
        <v>0</v>
      </c>
      <c r="Q1209" cm="1">
        <f t="array" ref="Q1209">SUMPRODUCT((keyword_comparison[record_identifier]=keyword_comparison[[#This Row],[record_identifier]])*(LEN(keyword_comparison[keyword_matcher_output])&gt;0))</f>
        <v>0</v>
      </c>
    </row>
    <row r="1210" spans="1:17" x14ac:dyDescent="0.25">
      <c r="A1210" t="s">
        <v>919</v>
      </c>
      <c r="B1210" t="s">
        <v>920</v>
      </c>
      <c r="C1210" t="s">
        <v>921</v>
      </c>
      <c r="D1210" t="s">
        <v>20</v>
      </c>
      <c r="E1210" t="s">
        <v>33</v>
      </c>
      <c r="H1210" t="s">
        <v>54</v>
      </c>
      <c r="J1210" t="s">
        <v>934</v>
      </c>
      <c r="K1210" t="s">
        <v>935</v>
      </c>
      <c r="M1210">
        <v>0.2172</v>
      </c>
      <c r="N1210">
        <v>21</v>
      </c>
      <c r="P1210">
        <f>COUNTIFS(keyword_comparison[record_identifier],keyword_comparison[[#This Row],[record_identifier]],keyword_comparison[Review],"&lt;&gt;")</f>
        <v>0</v>
      </c>
      <c r="Q1210" cm="1">
        <f t="array" ref="Q1210">SUMPRODUCT((keyword_comparison[record_identifier]=keyword_comparison[[#This Row],[record_identifier]])*(LEN(keyword_comparison[keyword_matcher_output])&gt;0))</f>
        <v>0</v>
      </c>
    </row>
    <row r="1211" spans="1:17" x14ac:dyDescent="0.25">
      <c r="A1211" t="s">
        <v>919</v>
      </c>
      <c r="B1211" t="s">
        <v>920</v>
      </c>
      <c r="C1211" t="s">
        <v>921</v>
      </c>
      <c r="D1211" t="s">
        <v>20</v>
      </c>
      <c r="E1211" t="s">
        <v>33</v>
      </c>
      <c r="H1211" t="s">
        <v>54</v>
      </c>
      <c r="J1211" t="s">
        <v>38</v>
      </c>
      <c r="K1211" t="s">
        <v>39</v>
      </c>
      <c r="M1211">
        <v>0.20730000000000001</v>
      </c>
      <c r="N1211">
        <v>22</v>
      </c>
      <c r="P1211">
        <f>COUNTIFS(keyword_comparison[record_identifier],keyword_comparison[[#This Row],[record_identifier]],keyword_comparison[Review],"&lt;&gt;")</f>
        <v>0</v>
      </c>
      <c r="Q1211" cm="1">
        <f t="array" ref="Q1211">SUMPRODUCT((keyword_comparison[record_identifier]=keyword_comparison[[#This Row],[record_identifier]])*(LEN(keyword_comparison[keyword_matcher_output])&gt;0))</f>
        <v>0</v>
      </c>
    </row>
    <row r="1212" spans="1:17" x14ac:dyDescent="0.25">
      <c r="A1212" t="s">
        <v>919</v>
      </c>
      <c r="B1212" t="s">
        <v>920</v>
      </c>
      <c r="C1212" t="s">
        <v>921</v>
      </c>
      <c r="D1212" t="s">
        <v>20</v>
      </c>
      <c r="E1212" t="s">
        <v>33</v>
      </c>
      <c r="H1212" t="s">
        <v>54</v>
      </c>
      <c r="J1212" t="s">
        <v>936</v>
      </c>
      <c r="K1212" t="s">
        <v>937</v>
      </c>
      <c r="M1212">
        <v>0.17780000000000001</v>
      </c>
      <c r="N1212">
        <v>23</v>
      </c>
      <c r="P1212">
        <f>COUNTIFS(keyword_comparison[record_identifier],keyword_comparison[[#This Row],[record_identifier]],keyword_comparison[Review],"&lt;&gt;")</f>
        <v>0</v>
      </c>
      <c r="Q1212" cm="1">
        <f t="array" ref="Q1212">SUMPRODUCT((keyword_comparison[record_identifier]=keyword_comparison[[#This Row],[record_identifier]])*(LEN(keyword_comparison[keyword_matcher_output])&gt;0))</f>
        <v>0</v>
      </c>
    </row>
    <row r="1213" spans="1:17" x14ac:dyDescent="0.25">
      <c r="A1213" t="s">
        <v>919</v>
      </c>
      <c r="B1213" t="s">
        <v>920</v>
      </c>
      <c r="C1213" t="s">
        <v>921</v>
      </c>
      <c r="D1213" t="s">
        <v>20</v>
      </c>
      <c r="E1213" t="s">
        <v>33</v>
      </c>
      <c r="H1213" t="s">
        <v>54</v>
      </c>
      <c r="J1213" t="s">
        <v>938</v>
      </c>
      <c r="K1213" t="s">
        <v>939</v>
      </c>
      <c r="M1213">
        <v>0.1482</v>
      </c>
      <c r="N1213">
        <v>24</v>
      </c>
      <c r="P1213">
        <f>COUNTIFS(keyword_comparison[record_identifier],keyword_comparison[[#This Row],[record_identifier]],keyword_comparison[Review],"&lt;&gt;")</f>
        <v>0</v>
      </c>
      <c r="Q1213" cm="1">
        <f t="array" ref="Q1213">SUMPRODUCT((keyword_comparison[record_identifier]=keyword_comparison[[#This Row],[record_identifier]])*(LEN(keyword_comparison[keyword_matcher_output])&gt;0))</f>
        <v>0</v>
      </c>
    </row>
    <row r="1214" spans="1:17" x14ac:dyDescent="0.25">
      <c r="A1214" t="s">
        <v>919</v>
      </c>
      <c r="B1214" t="s">
        <v>920</v>
      </c>
      <c r="C1214" t="s">
        <v>921</v>
      </c>
      <c r="D1214" t="s">
        <v>20</v>
      </c>
      <c r="E1214" t="s">
        <v>33</v>
      </c>
      <c r="H1214" t="s">
        <v>54</v>
      </c>
      <c r="J1214" t="s">
        <v>228</v>
      </c>
      <c r="K1214" t="s">
        <v>229</v>
      </c>
      <c r="M1214">
        <v>0.14030000000000001</v>
      </c>
      <c r="N1214">
        <v>25</v>
      </c>
      <c r="P1214">
        <f>COUNTIFS(keyword_comparison[record_identifier],keyword_comparison[[#This Row],[record_identifier]],keyword_comparison[Review],"&lt;&gt;")</f>
        <v>0</v>
      </c>
      <c r="Q1214" cm="1">
        <f t="array" ref="Q1214">SUMPRODUCT((keyword_comparison[record_identifier]=keyword_comparison[[#This Row],[record_identifier]])*(LEN(keyword_comparison[keyword_matcher_output])&gt;0))</f>
        <v>0</v>
      </c>
    </row>
    <row r="1215" spans="1:17" x14ac:dyDescent="0.25">
      <c r="A1215" t="s">
        <v>919</v>
      </c>
      <c r="B1215" t="s">
        <v>920</v>
      </c>
      <c r="C1215" t="s">
        <v>921</v>
      </c>
      <c r="D1215" t="s">
        <v>20</v>
      </c>
      <c r="E1215" t="s">
        <v>33</v>
      </c>
      <c r="H1215" t="s">
        <v>54</v>
      </c>
      <c r="J1215" t="s">
        <v>876</v>
      </c>
      <c r="K1215" t="s">
        <v>877</v>
      </c>
      <c r="M1215">
        <v>0.12690000000000001</v>
      </c>
      <c r="N1215">
        <v>26</v>
      </c>
      <c r="P1215">
        <f>COUNTIFS(keyword_comparison[record_identifier],keyword_comparison[[#This Row],[record_identifier]],keyword_comparison[Review],"&lt;&gt;")</f>
        <v>0</v>
      </c>
      <c r="Q1215" cm="1">
        <f t="array" ref="Q1215">SUMPRODUCT((keyword_comparison[record_identifier]=keyword_comparison[[#This Row],[record_identifier]])*(LEN(keyword_comparison[keyword_matcher_output])&gt;0))</f>
        <v>0</v>
      </c>
    </row>
    <row r="1216" spans="1:17" x14ac:dyDescent="0.25">
      <c r="A1216" t="s">
        <v>919</v>
      </c>
      <c r="B1216" t="s">
        <v>920</v>
      </c>
      <c r="C1216" t="s">
        <v>921</v>
      </c>
      <c r="D1216" t="s">
        <v>20</v>
      </c>
      <c r="E1216" t="s">
        <v>33</v>
      </c>
      <c r="H1216" t="s">
        <v>54</v>
      </c>
      <c r="J1216" t="s">
        <v>681</v>
      </c>
      <c r="K1216" t="s">
        <v>682</v>
      </c>
      <c r="M1216">
        <v>0.1203</v>
      </c>
      <c r="N1216">
        <v>27</v>
      </c>
      <c r="P1216">
        <f>COUNTIFS(keyword_comparison[record_identifier],keyword_comparison[[#This Row],[record_identifier]],keyword_comparison[Review],"&lt;&gt;")</f>
        <v>0</v>
      </c>
      <c r="Q1216" cm="1">
        <f t="array" ref="Q1216">SUMPRODUCT((keyword_comparison[record_identifier]=keyword_comparison[[#This Row],[record_identifier]])*(LEN(keyword_comparison[keyword_matcher_output])&gt;0))</f>
        <v>0</v>
      </c>
    </row>
    <row r="1217" spans="1:17" x14ac:dyDescent="0.25">
      <c r="A1217" t="s">
        <v>919</v>
      </c>
      <c r="B1217" t="s">
        <v>920</v>
      </c>
      <c r="C1217" t="s">
        <v>921</v>
      </c>
      <c r="D1217" t="s">
        <v>20</v>
      </c>
      <c r="E1217" t="s">
        <v>33</v>
      </c>
      <c r="H1217" t="s">
        <v>54</v>
      </c>
      <c r="J1217" t="s">
        <v>940</v>
      </c>
      <c r="K1217" t="s">
        <v>941</v>
      </c>
      <c r="M1217">
        <v>0.11849999999999999</v>
      </c>
      <c r="N1217">
        <v>28</v>
      </c>
      <c r="P1217">
        <f>COUNTIFS(keyword_comparison[record_identifier],keyword_comparison[[#This Row],[record_identifier]],keyword_comparison[Review],"&lt;&gt;")</f>
        <v>0</v>
      </c>
      <c r="Q1217" cm="1">
        <f t="array" ref="Q1217">SUMPRODUCT((keyword_comparison[record_identifier]=keyword_comparison[[#This Row],[record_identifier]])*(LEN(keyword_comparison[keyword_matcher_output])&gt;0))</f>
        <v>0</v>
      </c>
    </row>
    <row r="1218" spans="1:17" x14ac:dyDescent="0.25">
      <c r="A1218" t="s">
        <v>919</v>
      </c>
      <c r="B1218" t="s">
        <v>920</v>
      </c>
      <c r="C1218" t="s">
        <v>921</v>
      </c>
      <c r="D1218" t="s">
        <v>20</v>
      </c>
      <c r="E1218" t="s">
        <v>33</v>
      </c>
      <c r="H1218" t="s">
        <v>54</v>
      </c>
      <c r="J1218" t="s">
        <v>942</v>
      </c>
      <c r="K1218" t="s">
        <v>943</v>
      </c>
      <c r="M1218">
        <v>0.1096</v>
      </c>
      <c r="N1218">
        <v>29</v>
      </c>
      <c r="P1218">
        <f>COUNTIFS(keyword_comparison[record_identifier],keyword_comparison[[#This Row],[record_identifier]],keyword_comparison[Review],"&lt;&gt;")</f>
        <v>0</v>
      </c>
      <c r="Q1218" cm="1">
        <f t="array" ref="Q1218">SUMPRODUCT((keyword_comparison[record_identifier]=keyword_comparison[[#This Row],[record_identifier]])*(LEN(keyword_comparison[keyword_matcher_output])&gt;0))</f>
        <v>0</v>
      </c>
    </row>
    <row r="1219" spans="1:17" x14ac:dyDescent="0.25">
      <c r="A1219" t="s">
        <v>919</v>
      </c>
      <c r="B1219" t="s">
        <v>920</v>
      </c>
      <c r="C1219" t="s">
        <v>921</v>
      </c>
      <c r="D1219" t="s">
        <v>20</v>
      </c>
      <c r="E1219" t="s">
        <v>33</v>
      </c>
      <c r="H1219" t="s">
        <v>54</v>
      </c>
      <c r="J1219" t="s">
        <v>679</v>
      </c>
      <c r="K1219" t="s">
        <v>680</v>
      </c>
      <c r="M1219">
        <v>9.7500000000000003E-2</v>
      </c>
      <c r="N1219">
        <v>30</v>
      </c>
      <c r="P1219">
        <f>COUNTIFS(keyword_comparison[record_identifier],keyword_comparison[[#This Row],[record_identifier]],keyword_comparison[Review],"&lt;&gt;")</f>
        <v>0</v>
      </c>
      <c r="Q1219" cm="1">
        <f t="array" ref="Q1219">SUMPRODUCT((keyword_comparison[record_identifier]=keyword_comparison[[#This Row],[record_identifier]])*(LEN(keyword_comparison[keyword_matcher_output])&gt;0))</f>
        <v>0</v>
      </c>
    </row>
    <row r="1220" spans="1:17" x14ac:dyDescent="0.25">
      <c r="A1220" t="s">
        <v>919</v>
      </c>
      <c r="B1220" t="s">
        <v>920</v>
      </c>
      <c r="C1220" t="s">
        <v>921</v>
      </c>
      <c r="D1220" t="s">
        <v>20</v>
      </c>
      <c r="E1220" t="s">
        <v>33</v>
      </c>
      <c r="H1220" t="s">
        <v>54</v>
      </c>
      <c r="J1220" t="s">
        <v>593</v>
      </c>
      <c r="K1220" t="s">
        <v>594</v>
      </c>
      <c r="M1220">
        <v>9.1899999999999996E-2</v>
      </c>
      <c r="N1220">
        <v>31</v>
      </c>
      <c r="P1220">
        <f>COUNTIFS(keyword_comparison[record_identifier],keyword_comparison[[#This Row],[record_identifier]],keyword_comparison[Review],"&lt;&gt;")</f>
        <v>0</v>
      </c>
      <c r="Q1220" cm="1">
        <f t="array" ref="Q1220">SUMPRODUCT((keyword_comparison[record_identifier]=keyword_comparison[[#This Row],[record_identifier]])*(LEN(keyword_comparison[keyword_matcher_output])&gt;0))</f>
        <v>0</v>
      </c>
    </row>
    <row r="1221" spans="1:17" x14ac:dyDescent="0.25">
      <c r="A1221" t="s">
        <v>919</v>
      </c>
      <c r="B1221" t="s">
        <v>920</v>
      </c>
      <c r="C1221" t="s">
        <v>921</v>
      </c>
      <c r="D1221" t="s">
        <v>20</v>
      </c>
      <c r="E1221" t="s">
        <v>33</v>
      </c>
      <c r="H1221" t="s">
        <v>54</v>
      </c>
      <c r="J1221" t="s">
        <v>944</v>
      </c>
      <c r="K1221" t="s">
        <v>945</v>
      </c>
      <c r="M1221">
        <v>9.1600000000000001E-2</v>
      </c>
      <c r="N1221">
        <v>32</v>
      </c>
      <c r="P1221">
        <f>COUNTIFS(keyword_comparison[record_identifier],keyword_comparison[[#This Row],[record_identifier]],keyword_comparison[Review],"&lt;&gt;")</f>
        <v>0</v>
      </c>
      <c r="Q1221" cm="1">
        <f t="array" ref="Q1221">SUMPRODUCT((keyword_comparison[record_identifier]=keyword_comparison[[#This Row],[record_identifier]])*(LEN(keyword_comparison[keyword_matcher_output])&gt;0))</f>
        <v>0</v>
      </c>
    </row>
    <row r="1222" spans="1:17" x14ac:dyDescent="0.25">
      <c r="A1222" t="s">
        <v>919</v>
      </c>
      <c r="B1222" t="s">
        <v>920</v>
      </c>
      <c r="C1222" t="s">
        <v>921</v>
      </c>
      <c r="D1222" t="s">
        <v>20</v>
      </c>
      <c r="E1222" t="s">
        <v>33</v>
      </c>
      <c r="H1222" t="s">
        <v>54</v>
      </c>
      <c r="J1222" t="s">
        <v>193</v>
      </c>
      <c r="K1222" t="s">
        <v>194</v>
      </c>
      <c r="M1222">
        <v>8.3799999999999999E-2</v>
      </c>
      <c r="N1222">
        <v>33</v>
      </c>
      <c r="P1222">
        <f>COUNTIFS(keyword_comparison[record_identifier],keyword_comparison[[#This Row],[record_identifier]],keyword_comparison[Review],"&lt;&gt;")</f>
        <v>0</v>
      </c>
      <c r="Q1222" cm="1">
        <f t="array" ref="Q1222">SUMPRODUCT((keyword_comparison[record_identifier]=keyword_comparison[[#This Row],[record_identifier]])*(LEN(keyword_comparison[keyword_matcher_output])&gt;0))</f>
        <v>0</v>
      </c>
    </row>
    <row r="1223" spans="1:17" x14ac:dyDescent="0.25">
      <c r="A1223" t="s">
        <v>919</v>
      </c>
      <c r="B1223" t="s">
        <v>920</v>
      </c>
      <c r="C1223" t="s">
        <v>921</v>
      </c>
      <c r="D1223" t="s">
        <v>20</v>
      </c>
      <c r="E1223" t="s">
        <v>33</v>
      </c>
      <c r="H1223" t="s">
        <v>54</v>
      </c>
      <c r="J1223" t="s">
        <v>894</v>
      </c>
      <c r="K1223" t="s">
        <v>895</v>
      </c>
      <c r="M1223">
        <v>7.1499999999999994E-2</v>
      </c>
      <c r="N1223">
        <v>34</v>
      </c>
      <c r="P1223">
        <f>COUNTIFS(keyword_comparison[record_identifier],keyword_comparison[[#This Row],[record_identifier]],keyword_comparison[Review],"&lt;&gt;")</f>
        <v>0</v>
      </c>
      <c r="Q1223" cm="1">
        <f t="array" ref="Q1223">SUMPRODUCT((keyword_comparison[record_identifier]=keyword_comparison[[#This Row],[record_identifier]])*(LEN(keyword_comparison[keyword_matcher_output])&gt;0))</f>
        <v>0</v>
      </c>
    </row>
    <row r="1224" spans="1:17" x14ac:dyDescent="0.25">
      <c r="A1224" t="s">
        <v>919</v>
      </c>
      <c r="B1224" t="s">
        <v>920</v>
      </c>
      <c r="C1224" t="s">
        <v>921</v>
      </c>
      <c r="D1224" t="s">
        <v>20</v>
      </c>
      <c r="E1224" t="s">
        <v>33</v>
      </c>
      <c r="H1224" t="s">
        <v>54</v>
      </c>
      <c r="J1224" t="s">
        <v>791</v>
      </c>
      <c r="K1224" t="s">
        <v>792</v>
      </c>
      <c r="M1224">
        <v>7.0400000000000004E-2</v>
      </c>
      <c r="N1224">
        <v>35</v>
      </c>
      <c r="P1224">
        <f>COUNTIFS(keyword_comparison[record_identifier],keyword_comparison[[#This Row],[record_identifier]],keyword_comparison[Review],"&lt;&gt;")</f>
        <v>0</v>
      </c>
      <c r="Q1224" cm="1">
        <f t="array" ref="Q1224">SUMPRODUCT((keyword_comparison[record_identifier]=keyword_comparison[[#This Row],[record_identifier]])*(LEN(keyword_comparison[keyword_matcher_output])&gt;0))</f>
        <v>0</v>
      </c>
    </row>
    <row r="1225" spans="1:17" x14ac:dyDescent="0.25">
      <c r="A1225" t="s">
        <v>919</v>
      </c>
      <c r="B1225" t="s">
        <v>920</v>
      </c>
      <c r="C1225" t="s">
        <v>921</v>
      </c>
      <c r="D1225" t="s">
        <v>20</v>
      </c>
      <c r="E1225" t="s">
        <v>33</v>
      </c>
      <c r="H1225" t="s">
        <v>54</v>
      </c>
      <c r="J1225" t="s">
        <v>46</v>
      </c>
      <c r="K1225" t="s">
        <v>47</v>
      </c>
      <c r="M1225">
        <v>5.8200000000000002E-2</v>
      </c>
      <c r="N1225">
        <v>36</v>
      </c>
      <c r="P1225">
        <f>COUNTIFS(keyword_comparison[record_identifier],keyword_comparison[[#This Row],[record_identifier]],keyword_comparison[Review],"&lt;&gt;")</f>
        <v>0</v>
      </c>
      <c r="Q1225" cm="1">
        <f t="array" ref="Q1225">SUMPRODUCT((keyword_comparison[record_identifier]=keyword_comparison[[#This Row],[record_identifier]])*(LEN(keyword_comparison[keyword_matcher_output])&gt;0))</f>
        <v>0</v>
      </c>
    </row>
    <row r="1226" spans="1:17" x14ac:dyDescent="0.25">
      <c r="A1226" t="s">
        <v>919</v>
      </c>
      <c r="B1226" t="s">
        <v>920</v>
      </c>
      <c r="C1226" t="s">
        <v>921</v>
      </c>
      <c r="D1226" t="s">
        <v>20</v>
      </c>
      <c r="E1226" t="s">
        <v>33</v>
      </c>
      <c r="H1226" t="s">
        <v>54</v>
      </c>
      <c r="J1226" t="s">
        <v>107</v>
      </c>
      <c r="K1226" t="s">
        <v>108</v>
      </c>
      <c r="M1226">
        <v>5.2999999999999999E-2</v>
      </c>
      <c r="N1226">
        <v>37</v>
      </c>
      <c r="P1226">
        <f>COUNTIFS(keyword_comparison[record_identifier],keyword_comparison[[#This Row],[record_identifier]],keyword_comparison[Review],"&lt;&gt;")</f>
        <v>0</v>
      </c>
      <c r="Q1226" cm="1">
        <f t="array" ref="Q1226">SUMPRODUCT((keyword_comparison[record_identifier]=keyword_comparison[[#This Row],[record_identifier]])*(LEN(keyword_comparison[keyword_matcher_output])&gt;0))</f>
        <v>0</v>
      </c>
    </row>
    <row r="1227" spans="1:17" x14ac:dyDescent="0.25">
      <c r="A1227" t="s">
        <v>919</v>
      </c>
      <c r="B1227" t="s">
        <v>920</v>
      </c>
      <c r="C1227" t="s">
        <v>921</v>
      </c>
      <c r="D1227" t="s">
        <v>20</v>
      </c>
      <c r="E1227" t="s">
        <v>33</v>
      </c>
      <c r="H1227" t="s">
        <v>54</v>
      </c>
      <c r="J1227" t="s">
        <v>946</v>
      </c>
      <c r="K1227" t="s">
        <v>947</v>
      </c>
      <c r="M1227">
        <v>5.2600000000000001E-2</v>
      </c>
      <c r="N1227">
        <v>38</v>
      </c>
      <c r="P1227">
        <f>COUNTIFS(keyword_comparison[record_identifier],keyword_comparison[[#This Row],[record_identifier]],keyword_comparison[Review],"&lt;&gt;")</f>
        <v>0</v>
      </c>
      <c r="Q1227" cm="1">
        <f t="array" ref="Q1227">SUMPRODUCT((keyword_comparison[record_identifier]=keyword_comparison[[#This Row],[record_identifier]])*(LEN(keyword_comparison[keyword_matcher_output])&gt;0))</f>
        <v>0</v>
      </c>
    </row>
    <row r="1228" spans="1:17" x14ac:dyDescent="0.25">
      <c r="A1228" t="s">
        <v>919</v>
      </c>
      <c r="B1228" t="s">
        <v>920</v>
      </c>
      <c r="C1228" t="s">
        <v>921</v>
      </c>
      <c r="D1228" t="s">
        <v>20</v>
      </c>
      <c r="E1228" t="s">
        <v>33</v>
      </c>
      <c r="H1228" t="s">
        <v>54</v>
      </c>
      <c r="J1228" t="s">
        <v>447</v>
      </c>
      <c r="K1228" t="s">
        <v>448</v>
      </c>
      <c r="M1228">
        <v>5.04E-2</v>
      </c>
      <c r="N1228">
        <v>39</v>
      </c>
      <c r="P1228">
        <f>COUNTIFS(keyword_comparison[record_identifier],keyword_comparison[[#This Row],[record_identifier]],keyword_comparison[Review],"&lt;&gt;")</f>
        <v>0</v>
      </c>
      <c r="Q1228" cm="1">
        <f t="array" ref="Q1228">SUMPRODUCT((keyword_comparison[record_identifier]=keyword_comparison[[#This Row],[record_identifier]])*(LEN(keyword_comparison[keyword_matcher_output])&gt;0))</f>
        <v>0</v>
      </c>
    </row>
    <row r="1229" spans="1:17" x14ac:dyDescent="0.25">
      <c r="A1229" t="s">
        <v>919</v>
      </c>
      <c r="B1229" t="s">
        <v>920</v>
      </c>
      <c r="C1229" t="s">
        <v>921</v>
      </c>
      <c r="D1229" t="s">
        <v>20</v>
      </c>
      <c r="E1229" t="s">
        <v>48</v>
      </c>
      <c r="H1229" t="s">
        <v>54</v>
      </c>
      <c r="J1229" t="s">
        <v>795</v>
      </c>
      <c r="K1229" t="s">
        <v>342</v>
      </c>
      <c r="P1229">
        <f>COUNTIFS(keyword_comparison[record_identifier],keyword_comparison[[#This Row],[record_identifier]],keyword_comparison[Review],"&lt;&gt;")</f>
        <v>0</v>
      </c>
      <c r="Q1229" cm="1">
        <f t="array" ref="Q1229">SUMPRODUCT((keyword_comparison[record_identifier]=keyword_comparison[[#This Row],[record_identifier]])*(LEN(keyword_comparison[keyword_matcher_output])&gt;0))</f>
        <v>0</v>
      </c>
    </row>
    <row r="1230" spans="1:17" x14ac:dyDescent="0.25">
      <c r="A1230" t="s">
        <v>919</v>
      </c>
      <c r="B1230" t="s">
        <v>920</v>
      </c>
      <c r="C1230" t="s">
        <v>921</v>
      </c>
      <c r="D1230" t="s">
        <v>20</v>
      </c>
      <c r="E1230" t="s">
        <v>48</v>
      </c>
      <c r="H1230" t="s">
        <v>54</v>
      </c>
      <c r="J1230" t="s">
        <v>936</v>
      </c>
      <c r="K1230" t="s">
        <v>937</v>
      </c>
      <c r="P1230">
        <f>COUNTIFS(keyword_comparison[record_identifier],keyword_comparison[[#This Row],[record_identifier]],keyword_comparison[Review],"&lt;&gt;")</f>
        <v>0</v>
      </c>
      <c r="Q1230" cm="1">
        <f t="array" ref="Q1230">SUMPRODUCT((keyword_comparison[record_identifier]=keyword_comparison[[#This Row],[record_identifier]])*(LEN(keyword_comparison[keyword_matcher_output])&gt;0))</f>
        <v>0</v>
      </c>
    </row>
    <row r="1231" spans="1:17" x14ac:dyDescent="0.25">
      <c r="A1231" t="s">
        <v>919</v>
      </c>
      <c r="B1231" t="s">
        <v>920</v>
      </c>
      <c r="C1231" t="s">
        <v>921</v>
      </c>
      <c r="D1231" t="s">
        <v>20</v>
      </c>
      <c r="E1231" t="s">
        <v>48</v>
      </c>
      <c r="H1231" t="s">
        <v>54</v>
      </c>
      <c r="J1231" t="s">
        <v>848</v>
      </c>
      <c r="K1231" t="s">
        <v>849</v>
      </c>
      <c r="P1231">
        <f>COUNTIFS(keyword_comparison[record_identifier],keyword_comparison[[#This Row],[record_identifier]],keyword_comparison[Review],"&lt;&gt;")</f>
        <v>0</v>
      </c>
      <c r="Q1231" cm="1">
        <f t="array" ref="Q1231">SUMPRODUCT((keyword_comparison[record_identifier]=keyword_comparison[[#This Row],[record_identifier]])*(LEN(keyword_comparison[keyword_matcher_output])&gt;0))</f>
        <v>0</v>
      </c>
    </row>
    <row r="1232" spans="1:17" x14ac:dyDescent="0.25">
      <c r="A1232" t="s">
        <v>919</v>
      </c>
      <c r="B1232" t="s">
        <v>920</v>
      </c>
      <c r="C1232" t="s">
        <v>921</v>
      </c>
      <c r="D1232" t="s">
        <v>20</v>
      </c>
      <c r="E1232" t="s">
        <v>48</v>
      </c>
      <c r="H1232" t="s">
        <v>54</v>
      </c>
      <c r="J1232" t="s">
        <v>574</v>
      </c>
      <c r="K1232" t="s">
        <v>575</v>
      </c>
      <c r="L1232" t="b">
        <v>1</v>
      </c>
      <c r="P1232">
        <f>COUNTIFS(keyword_comparison[record_identifier],keyword_comparison[[#This Row],[record_identifier]],keyword_comparison[Review],"&lt;&gt;")</f>
        <v>0</v>
      </c>
      <c r="Q1232" cm="1">
        <f t="array" ref="Q1232">SUMPRODUCT((keyword_comparison[record_identifier]=keyword_comparison[[#This Row],[record_identifier]])*(LEN(keyword_comparison[keyword_matcher_output])&gt;0))</f>
        <v>0</v>
      </c>
    </row>
    <row r="1233" spans="1:17" x14ac:dyDescent="0.25">
      <c r="A1233" t="s">
        <v>919</v>
      </c>
      <c r="B1233" t="s">
        <v>920</v>
      </c>
      <c r="C1233" t="s">
        <v>921</v>
      </c>
      <c r="D1233" t="s">
        <v>20</v>
      </c>
      <c r="E1233" t="s">
        <v>48</v>
      </c>
      <c r="H1233" t="s">
        <v>54</v>
      </c>
      <c r="J1233" t="s">
        <v>948</v>
      </c>
      <c r="K1233" t="s">
        <v>949</v>
      </c>
      <c r="P1233">
        <f>COUNTIFS(keyword_comparison[record_identifier],keyword_comparison[[#This Row],[record_identifier]],keyword_comparison[Review],"&lt;&gt;")</f>
        <v>0</v>
      </c>
      <c r="Q1233" cm="1">
        <f t="array" ref="Q1233">SUMPRODUCT((keyword_comparison[record_identifier]=keyword_comparison[[#This Row],[record_identifier]])*(LEN(keyword_comparison[keyword_matcher_output])&gt;0))</f>
        <v>0</v>
      </c>
    </row>
    <row r="1234" spans="1:17" x14ac:dyDescent="0.25">
      <c r="A1234" t="s">
        <v>919</v>
      </c>
      <c r="B1234" t="s">
        <v>920</v>
      </c>
      <c r="C1234" t="s">
        <v>921</v>
      </c>
      <c r="D1234" t="s">
        <v>20</v>
      </c>
      <c r="E1234" t="s">
        <v>48</v>
      </c>
      <c r="H1234" t="s">
        <v>54</v>
      </c>
      <c r="J1234" t="s">
        <v>255</v>
      </c>
      <c r="K1234" t="s">
        <v>256</v>
      </c>
      <c r="P1234">
        <f>COUNTIFS(keyword_comparison[record_identifier],keyword_comparison[[#This Row],[record_identifier]],keyword_comparison[Review],"&lt;&gt;")</f>
        <v>0</v>
      </c>
      <c r="Q1234" cm="1">
        <f t="array" ref="Q1234">SUMPRODUCT((keyword_comparison[record_identifier]=keyword_comparison[[#This Row],[record_identifier]])*(LEN(keyword_comparison[keyword_matcher_output])&gt;0))</f>
        <v>0</v>
      </c>
    </row>
    <row r="1235" spans="1:17" x14ac:dyDescent="0.25">
      <c r="A1235" t="s">
        <v>919</v>
      </c>
      <c r="B1235" t="s">
        <v>920</v>
      </c>
      <c r="C1235" t="s">
        <v>921</v>
      </c>
      <c r="D1235" t="s">
        <v>20</v>
      </c>
      <c r="E1235" t="s">
        <v>48</v>
      </c>
      <c r="H1235" t="s">
        <v>54</v>
      </c>
      <c r="J1235" t="s">
        <v>547</v>
      </c>
      <c r="K1235" t="s">
        <v>221</v>
      </c>
      <c r="P1235">
        <f>COUNTIFS(keyword_comparison[record_identifier],keyword_comparison[[#This Row],[record_identifier]],keyword_comparison[Review],"&lt;&gt;")</f>
        <v>0</v>
      </c>
      <c r="Q1235" cm="1">
        <f t="array" ref="Q1235">SUMPRODUCT((keyword_comparison[record_identifier]=keyword_comparison[[#This Row],[record_identifier]])*(LEN(keyword_comparison[keyword_matcher_output])&gt;0))</f>
        <v>0</v>
      </c>
    </row>
    <row r="1236" spans="1:17" x14ac:dyDescent="0.25">
      <c r="A1236" t="s">
        <v>919</v>
      </c>
      <c r="B1236" t="s">
        <v>920</v>
      </c>
      <c r="C1236" t="s">
        <v>921</v>
      </c>
      <c r="D1236" t="s">
        <v>20</v>
      </c>
      <c r="E1236" t="s">
        <v>48</v>
      </c>
      <c r="H1236" t="s">
        <v>54</v>
      </c>
      <c r="J1236" t="s">
        <v>547</v>
      </c>
      <c r="K1236" t="s">
        <v>220</v>
      </c>
      <c r="P1236">
        <f>COUNTIFS(keyword_comparison[record_identifier],keyword_comparison[[#This Row],[record_identifier]],keyword_comparison[Review],"&lt;&gt;")</f>
        <v>0</v>
      </c>
      <c r="Q1236" cm="1">
        <f t="array" ref="Q1236">SUMPRODUCT((keyword_comparison[record_identifier]=keyword_comparison[[#This Row],[record_identifier]])*(LEN(keyword_comparison[keyword_matcher_output])&gt;0))</f>
        <v>0</v>
      </c>
    </row>
    <row r="1237" spans="1:17" x14ac:dyDescent="0.25">
      <c r="A1237" t="s">
        <v>919</v>
      </c>
      <c r="B1237" t="s">
        <v>920</v>
      </c>
      <c r="C1237" t="s">
        <v>921</v>
      </c>
      <c r="D1237" t="s">
        <v>20</v>
      </c>
      <c r="E1237" t="s">
        <v>48</v>
      </c>
      <c r="H1237" t="s">
        <v>54</v>
      </c>
      <c r="J1237" t="s">
        <v>136</v>
      </c>
      <c r="K1237" t="s">
        <v>137</v>
      </c>
      <c r="P1237">
        <f>COUNTIFS(keyword_comparison[record_identifier],keyword_comparison[[#This Row],[record_identifier]],keyword_comparison[Review],"&lt;&gt;")</f>
        <v>0</v>
      </c>
      <c r="Q1237" cm="1">
        <f t="array" ref="Q1237">SUMPRODUCT((keyword_comparison[record_identifier]=keyword_comparison[[#This Row],[record_identifier]])*(LEN(keyword_comparison[keyword_matcher_output])&gt;0))</f>
        <v>0</v>
      </c>
    </row>
    <row r="1238" spans="1:17" x14ac:dyDescent="0.25">
      <c r="A1238" t="s">
        <v>919</v>
      </c>
      <c r="B1238" t="s">
        <v>920</v>
      </c>
      <c r="C1238" t="s">
        <v>921</v>
      </c>
      <c r="D1238" t="s">
        <v>20</v>
      </c>
      <c r="E1238" t="s">
        <v>48</v>
      </c>
      <c r="H1238" t="s">
        <v>54</v>
      </c>
      <c r="J1238" t="s">
        <v>84</v>
      </c>
      <c r="K1238" t="s">
        <v>85</v>
      </c>
      <c r="P1238">
        <f>COUNTIFS(keyword_comparison[record_identifier],keyword_comparison[[#This Row],[record_identifier]],keyword_comparison[Review],"&lt;&gt;")</f>
        <v>0</v>
      </c>
      <c r="Q1238" cm="1">
        <f t="array" ref="Q1238">SUMPRODUCT((keyword_comparison[record_identifier]=keyword_comparison[[#This Row],[record_identifier]])*(LEN(keyword_comparison[keyword_matcher_output])&gt;0))</f>
        <v>0</v>
      </c>
    </row>
    <row r="1239" spans="1:17" x14ac:dyDescent="0.25">
      <c r="A1239" t="s">
        <v>919</v>
      </c>
      <c r="B1239" t="s">
        <v>920</v>
      </c>
      <c r="C1239" t="s">
        <v>921</v>
      </c>
      <c r="D1239" t="s">
        <v>20</v>
      </c>
      <c r="E1239" t="s">
        <v>48</v>
      </c>
      <c r="H1239" t="s">
        <v>54</v>
      </c>
      <c r="J1239" t="s">
        <v>950</v>
      </c>
      <c r="K1239" t="s">
        <v>951</v>
      </c>
      <c r="L1239" t="b">
        <v>1</v>
      </c>
      <c r="P1239">
        <f>COUNTIFS(keyword_comparison[record_identifier],keyword_comparison[[#This Row],[record_identifier]],keyword_comparison[Review],"&lt;&gt;")</f>
        <v>0</v>
      </c>
      <c r="Q1239" cm="1">
        <f t="array" ref="Q1239">SUMPRODUCT((keyword_comparison[record_identifier]=keyword_comparison[[#This Row],[record_identifier]])*(LEN(keyword_comparison[keyword_matcher_output])&gt;0))</f>
        <v>0</v>
      </c>
    </row>
    <row r="1240" spans="1:17" x14ac:dyDescent="0.25">
      <c r="A1240" t="s">
        <v>919</v>
      </c>
      <c r="B1240" t="s">
        <v>920</v>
      </c>
      <c r="C1240" t="s">
        <v>921</v>
      </c>
      <c r="D1240" t="s">
        <v>20</v>
      </c>
      <c r="E1240" t="s">
        <v>53</v>
      </c>
      <c r="F1240" t="s">
        <v>54</v>
      </c>
      <c r="G1240" t="s">
        <v>54</v>
      </c>
      <c r="H1240" t="s">
        <v>54</v>
      </c>
      <c r="J1240" t="s">
        <v>103</v>
      </c>
      <c r="K1240" t="s">
        <v>104</v>
      </c>
      <c r="O1240">
        <v>1</v>
      </c>
      <c r="P1240">
        <f>COUNTIFS(keyword_comparison[record_identifier],keyword_comparison[[#This Row],[record_identifier]],keyword_comparison[Review],"&lt;&gt;")</f>
        <v>0</v>
      </c>
      <c r="Q1240" cm="1">
        <f t="array" ref="Q1240">SUMPRODUCT((keyword_comparison[record_identifier]=keyword_comparison[[#This Row],[record_identifier]])*(LEN(keyword_comparison[keyword_matcher_output])&gt;0))</f>
        <v>0</v>
      </c>
    </row>
    <row r="1241" spans="1:17" x14ac:dyDescent="0.25">
      <c r="A1241" t="s">
        <v>919</v>
      </c>
      <c r="B1241" t="s">
        <v>920</v>
      </c>
      <c r="C1241" t="s">
        <v>921</v>
      </c>
      <c r="D1241" t="s">
        <v>20</v>
      </c>
      <c r="E1241" t="s">
        <v>53</v>
      </c>
      <c r="F1241" t="s">
        <v>54</v>
      </c>
      <c r="G1241" t="s">
        <v>54</v>
      </c>
      <c r="H1241" t="s">
        <v>54</v>
      </c>
      <c r="J1241" t="s">
        <v>105</v>
      </c>
      <c r="K1241" t="s">
        <v>106</v>
      </c>
      <c r="O1241">
        <v>2</v>
      </c>
      <c r="P1241">
        <f>COUNTIFS(keyword_comparison[record_identifier],keyword_comparison[[#This Row],[record_identifier]],keyword_comparison[Review],"&lt;&gt;")</f>
        <v>0</v>
      </c>
      <c r="Q1241" cm="1">
        <f t="array" ref="Q1241">SUMPRODUCT((keyword_comparison[record_identifier]=keyword_comparison[[#This Row],[record_identifier]])*(LEN(keyword_comparison[keyword_matcher_output])&gt;0))</f>
        <v>0</v>
      </c>
    </row>
    <row r="1242" spans="1:17" x14ac:dyDescent="0.25">
      <c r="A1242" t="s">
        <v>919</v>
      </c>
      <c r="B1242" t="s">
        <v>920</v>
      </c>
      <c r="C1242" t="s">
        <v>921</v>
      </c>
      <c r="D1242" t="s">
        <v>20</v>
      </c>
      <c r="E1242" t="s">
        <v>53</v>
      </c>
      <c r="F1242" t="s">
        <v>54</v>
      </c>
      <c r="G1242" t="s">
        <v>54</v>
      </c>
      <c r="H1242" t="s">
        <v>54</v>
      </c>
      <c r="J1242" t="s">
        <v>204</v>
      </c>
      <c r="K1242" t="s">
        <v>205</v>
      </c>
      <c r="O1242">
        <v>3</v>
      </c>
      <c r="P1242">
        <f>COUNTIFS(keyword_comparison[record_identifier],keyword_comparison[[#This Row],[record_identifier]],keyword_comparison[Review],"&lt;&gt;")</f>
        <v>0</v>
      </c>
      <c r="Q1242" cm="1">
        <f t="array" ref="Q1242">SUMPRODUCT((keyword_comparison[record_identifier]=keyword_comparison[[#This Row],[record_identifier]])*(LEN(keyword_comparison[keyword_matcher_output])&gt;0))</f>
        <v>0</v>
      </c>
    </row>
    <row r="1243" spans="1:17" x14ac:dyDescent="0.25">
      <c r="A1243" t="s">
        <v>919</v>
      </c>
      <c r="B1243" t="s">
        <v>920</v>
      </c>
      <c r="C1243" t="s">
        <v>921</v>
      </c>
      <c r="D1243" t="s">
        <v>20</v>
      </c>
      <c r="E1243" t="s">
        <v>53</v>
      </c>
      <c r="F1243" t="s">
        <v>54</v>
      </c>
      <c r="G1243" t="s">
        <v>54</v>
      </c>
      <c r="H1243" t="s">
        <v>54</v>
      </c>
      <c r="J1243" t="s">
        <v>952</v>
      </c>
      <c r="K1243" t="s">
        <v>953</v>
      </c>
      <c r="O1243">
        <v>4</v>
      </c>
      <c r="P1243">
        <f>COUNTIFS(keyword_comparison[record_identifier],keyword_comparison[[#This Row],[record_identifier]],keyword_comparison[Review],"&lt;&gt;")</f>
        <v>0</v>
      </c>
      <c r="Q1243" cm="1">
        <f t="array" ref="Q1243">SUMPRODUCT((keyword_comparison[record_identifier]=keyword_comparison[[#This Row],[record_identifier]])*(LEN(keyword_comparison[keyword_matcher_output])&gt;0))</f>
        <v>0</v>
      </c>
    </row>
    <row r="1244" spans="1:17" x14ac:dyDescent="0.25">
      <c r="A1244" t="s">
        <v>919</v>
      </c>
      <c r="B1244" t="s">
        <v>920</v>
      </c>
      <c r="C1244" t="s">
        <v>921</v>
      </c>
      <c r="D1244" t="s">
        <v>20</v>
      </c>
      <c r="E1244" t="s">
        <v>53</v>
      </c>
      <c r="F1244" t="s">
        <v>54</v>
      </c>
      <c r="G1244" t="s">
        <v>54</v>
      </c>
      <c r="H1244" t="s">
        <v>54</v>
      </c>
      <c r="J1244" t="s">
        <v>300</v>
      </c>
      <c r="K1244" t="s">
        <v>301</v>
      </c>
      <c r="O1244">
        <v>5</v>
      </c>
      <c r="P1244">
        <f>COUNTIFS(keyword_comparison[record_identifier],keyword_comparison[[#This Row],[record_identifier]],keyword_comparison[Review],"&lt;&gt;")</f>
        <v>0</v>
      </c>
      <c r="Q1244" cm="1">
        <f t="array" ref="Q1244">SUMPRODUCT((keyword_comparison[record_identifier]=keyword_comparison[[#This Row],[record_identifier]])*(LEN(keyword_comparison[keyword_matcher_output])&gt;0))</f>
        <v>0</v>
      </c>
    </row>
    <row r="1245" spans="1:17" x14ac:dyDescent="0.25">
      <c r="A1245" t="s">
        <v>919</v>
      </c>
      <c r="B1245" t="s">
        <v>920</v>
      </c>
      <c r="C1245" t="s">
        <v>921</v>
      </c>
      <c r="D1245" t="s">
        <v>20</v>
      </c>
      <c r="E1245" t="s">
        <v>53</v>
      </c>
      <c r="F1245" t="s">
        <v>54</v>
      </c>
      <c r="G1245" t="s">
        <v>54</v>
      </c>
      <c r="H1245" t="s">
        <v>54</v>
      </c>
      <c r="J1245" t="s">
        <v>954</v>
      </c>
      <c r="K1245" t="s">
        <v>955</v>
      </c>
      <c r="O1245">
        <v>6</v>
      </c>
      <c r="P1245">
        <f>COUNTIFS(keyword_comparison[record_identifier],keyword_comparison[[#This Row],[record_identifier]],keyword_comparison[Review],"&lt;&gt;")</f>
        <v>0</v>
      </c>
      <c r="Q1245" cm="1">
        <f t="array" ref="Q1245">SUMPRODUCT((keyword_comparison[record_identifier]=keyword_comparison[[#This Row],[record_identifier]])*(LEN(keyword_comparison[keyword_matcher_output])&gt;0))</f>
        <v>0</v>
      </c>
    </row>
    <row r="1246" spans="1:17" x14ac:dyDescent="0.25">
      <c r="A1246" t="s">
        <v>919</v>
      </c>
      <c r="B1246" t="s">
        <v>920</v>
      </c>
      <c r="C1246" t="s">
        <v>921</v>
      </c>
      <c r="D1246" t="s">
        <v>20</v>
      </c>
      <c r="E1246" t="s">
        <v>53</v>
      </c>
      <c r="F1246" t="s">
        <v>54</v>
      </c>
      <c r="G1246" t="s">
        <v>54</v>
      </c>
      <c r="H1246" t="s">
        <v>54</v>
      </c>
      <c r="J1246" t="s">
        <v>954</v>
      </c>
      <c r="K1246" t="s">
        <v>956</v>
      </c>
      <c r="O1246">
        <v>6</v>
      </c>
      <c r="P1246">
        <f>COUNTIFS(keyword_comparison[record_identifier],keyword_comparison[[#This Row],[record_identifier]],keyword_comparison[Review],"&lt;&gt;")</f>
        <v>0</v>
      </c>
      <c r="Q1246" cm="1">
        <f t="array" ref="Q1246">SUMPRODUCT((keyword_comparison[record_identifier]=keyword_comparison[[#This Row],[record_identifier]])*(LEN(keyword_comparison[keyword_matcher_output])&gt;0))</f>
        <v>0</v>
      </c>
    </row>
    <row r="1247" spans="1:17" x14ac:dyDescent="0.25">
      <c r="A1247" t="s">
        <v>919</v>
      </c>
      <c r="B1247" t="s">
        <v>920</v>
      </c>
      <c r="C1247" t="s">
        <v>921</v>
      </c>
      <c r="D1247" t="s">
        <v>20</v>
      </c>
      <c r="E1247" t="s">
        <v>53</v>
      </c>
      <c r="F1247" t="s">
        <v>54</v>
      </c>
      <c r="G1247" t="s">
        <v>54</v>
      </c>
      <c r="H1247" t="s">
        <v>54</v>
      </c>
      <c r="J1247" t="s">
        <v>504</v>
      </c>
      <c r="K1247" t="s">
        <v>493</v>
      </c>
      <c r="O1247">
        <v>7</v>
      </c>
      <c r="P1247">
        <f>COUNTIFS(keyword_comparison[record_identifier],keyword_comparison[[#This Row],[record_identifier]],keyword_comparison[Review],"&lt;&gt;")</f>
        <v>0</v>
      </c>
      <c r="Q1247" cm="1">
        <f t="array" ref="Q1247">SUMPRODUCT((keyword_comparison[record_identifier]=keyword_comparison[[#This Row],[record_identifier]])*(LEN(keyword_comparison[keyword_matcher_output])&gt;0))</f>
        <v>0</v>
      </c>
    </row>
    <row r="1248" spans="1:17" x14ac:dyDescent="0.25">
      <c r="A1248" t="s">
        <v>919</v>
      </c>
      <c r="B1248" t="s">
        <v>920</v>
      </c>
      <c r="C1248" t="s">
        <v>921</v>
      </c>
      <c r="D1248" t="s">
        <v>20</v>
      </c>
      <c r="E1248" t="s">
        <v>53</v>
      </c>
      <c r="F1248" t="s">
        <v>54</v>
      </c>
      <c r="G1248" t="s">
        <v>54</v>
      </c>
      <c r="H1248" t="s">
        <v>54</v>
      </c>
      <c r="J1248" t="s">
        <v>574</v>
      </c>
      <c r="K1248" t="s">
        <v>575</v>
      </c>
      <c r="O1248">
        <v>9</v>
      </c>
      <c r="P1248">
        <f>COUNTIFS(keyword_comparison[record_identifier],keyword_comparison[[#This Row],[record_identifier]],keyword_comparison[Review],"&lt;&gt;")</f>
        <v>0</v>
      </c>
      <c r="Q1248" cm="1">
        <f t="array" ref="Q1248">SUMPRODUCT((keyword_comparison[record_identifier]=keyword_comparison[[#This Row],[record_identifier]])*(LEN(keyword_comparison[keyword_matcher_output])&gt;0))</f>
        <v>0</v>
      </c>
    </row>
    <row r="1249" spans="1:17" x14ac:dyDescent="0.25">
      <c r="A1249" t="s">
        <v>919</v>
      </c>
      <c r="B1249" t="s">
        <v>920</v>
      </c>
      <c r="C1249" t="s">
        <v>921</v>
      </c>
      <c r="D1249" t="s">
        <v>20</v>
      </c>
      <c r="E1249" t="s">
        <v>53</v>
      </c>
      <c r="F1249" t="s">
        <v>54</v>
      </c>
      <c r="G1249" t="s">
        <v>54</v>
      </c>
      <c r="H1249" t="s">
        <v>54</v>
      </c>
      <c r="J1249" t="s">
        <v>957</v>
      </c>
      <c r="K1249" t="s">
        <v>958</v>
      </c>
      <c r="O1249">
        <v>10</v>
      </c>
      <c r="P1249">
        <f>COUNTIFS(keyword_comparison[record_identifier],keyword_comparison[[#This Row],[record_identifier]],keyword_comparison[Review],"&lt;&gt;")</f>
        <v>0</v>
      </c>
      <c r="Q1249" cm="1">
        <f t="array" ref="Q1249">SUMPRODUCT((keyword_comparison[record_identifier]=keyword_comparison[[#This Row],[record_identifier]])*(LEN(keyword_comparison[keyword_matcher_output])&gt;0))</f>
        <v>0</v>
      </c>
    </row>
    <row r="1250" spans="1:17" x14ac:dyDescent="0.25">
      <c r="A1250" t="s">
        <v>959</v>
      </c>
      <c r="B1250" t="s">
        <v>960</v>
      </c>
      <c r="C1250" t="s">
        <v>961</v>
      </c>
      <c r="D1250" t="s">
        <v>20</v>
      </c>
      <c r="E1250" t="s">
        <v>33</v>
      </c>
      <c r="H1250" t="s">
        <v>54</v>
      </c>
      <c r="I1250" t="s">
        <v>80</v>
      </c>
      <c r="J1250" t="s">
        <v>211</v>
      </c>
      <c r="K1250" t="s">
        <v>212</v>
      </c>
      <c r="L1250" t="b">
        <v>1</v>
      </c>
      <c r="M1250">
        <v>0.66369999999999996</v>
      </c>
      <c r="N1250">
        <v>1</v>
      </c>
      <c r="P1250">
        <f>COUNTIFS(keyword_comparison[record_identifier],keyword_comparison[[#This Row],[record_identifier]],keyword_comparison[Review],"&lt;&gt;")</f>
        <v>8</v>
      </c>
      <c r="Q1250" cm="1">
        <f t="array" ref="Q1250">SUMPRODUCT((keyword_comparison[record_identifier]=keyword_comparison[[#This Row],[record_identifier]])*(LEN(keyword_comparison[keyword_matcher_output])&gt;0))</f>
        <v>0</v>
      </c>
    </row>
    <row r="1251" spans="1:17" x14ac:dyDescent="0.25">
      <c r="A1251" t="s">
        <v>959</v>
      </c>
      <c r="B1251" t="s">
        <v>960</v>
      </c>
      <c r="C1251" t="s">
        <v>961</v>
      </c>
      <c r="D1251" t="s">
        <v>20</v>
      </c>
      <c r="E1251" t="s">
        <v>33</v>
      </c>
      <c r="H1251" t="s">
        <v>54</v>
      </c>
      <c r="I1251" t="s">
        <v>80</v>
      </c>
      <c r="J1251" t="s">
        <v>204</v>
      </c>
      <c r="K1251" t="s">
        <v>205</v>
      </c>
      <c r="L1251" t="b">
        <v>1</v>
      </c>
      <c r="M1251">
        <v>0.44640000000000002</v>
      </c>
      <c r="N1251">
        <v>2</v>
      </c>
      <c r="P1251">
        <f>COUNTIFS(keyword_comparison[record_identifier],keyword_comparison[[#This Row],[record_identifier]],keyword_comparison[Review],"&lt;&gt;")</f>
        <v>8</v>
      </c>
      <c r="Q1251" cm="1">
        <f t="array" ref="Q1251">SUMPRODUCT((keyword_comparison[record_identifier]=keyword_comparison[[#This Row],[record_identifier]])*(LEN(keyword_comparison[keyword_matcher_output])&gt;0))</f>
        <v>0</v>
      </c>
    </row>
    <row r="1252" spans="1:17" x14ac:dyDescent="0.25">
      <c r="A1252" t="s">
        <v>959</v>
      </c>
      <c r="B1252" t="s">
        <v>960</v>
      </c>
      <c r="C1252" t="s">
        <v>961</v>
      </c>
      <c r="D1252" t="s">
        <v>20</v>
      </c>
      <c r="E1252" t="s">
        <v>33</v>
      </c>
      <c r="H1252" t="s">
        <v>54</v>
      </c>
      <c r="I1252" t="s">
        <v>80</v>
      </c>
      <c r="J1252" t="s">
        <v>508</v>
      </c>
      <c r="K1252" t="s">
        <v>509</v>
      </c>
      <c r="M1252">
        <v>0.25659999999999999</v>
      </c>
      <c r="N1252">
        <v>3</v>
      </c>
      <c r="P1252">
        <f>COUNTIFS(keyword_comparison[record_identifier],keyword_comparison[[#This Row],[record_identifier]],keyword_comparison[Review],"&lt;&gt;")</f>
        <v>8</v>
      </c>
      <c r="Q1252" cm="1">
        <f t="array" ref="Q1252">SUMPRODUCT((keyword_comparison[record_identifier]=keyword_comparison[[#This Row],[record_identifier]])*(LEN(keyword_comparison[keyword_matcher_output])&gt;0))</f>
        <v>0</v>
      </c>
    </row>
    <row r="1253" spans="1:17" x14ac:dyDescent="0.25">
      <c r="A1253" t="s">
        <v>959</v>
      </c>
      <c r="B1253" t="s">
        <v>960</v>
      </c>
      <c r="C1253" t="s">
        <v>961</v>
      </c>
      <c r="D1253" t="s">
        <v>20</v>
      </c>
      <c r="E1253" t="s">
        <v>33</v>
      </c>
      <c r="H1253" t="s">
        <v>54</v>
      </c>
      <c r="I1253" t="s">
        <v>80</v>
      </c>
      <c r="J1253" t="s">
        <v>876</v>
      </c>
      <c r="K1253" t="s">
        <v>877</v>
      </c>
      <c r="M1253">
        <v>0.20880000000000001</v>
      </c>
      <c r="N1253">
        <v>4</v>
      </c>
      <c r="P1253">
        <f>COUNTIFS(keyword_comparison[record_identifier],keyword_comparison[[#This Row],[record_identifier]],keyword_comparison[Review],"&lt;&gt;")</f>
        <v>8</v>
      </c>
      <c r="Q1253" cm="1">
        <f t="array" ref="Q1253">SUMPRODUCT((keyword_comparison[record_identifier]=keyword_comparison[[#This Row],[record_identifier]])*(LEN(keyword_comparison[keyword_matcher_output])&gt;0))</f>
        <v>0</v>
      </c>
    </row>
    <row r="1254" spans="1:17" x14ac:dyDescent="0.25">
      <c r="A1254" t="s">
        <v>959</v>
      </c>
      <c r="B1254" t="s">
        <v>960</v>
      </c>
      <c r="C1254" t="s">
        <v>961</v>
      </c>
      <c r="D1254" t="s">
        <v>20</v>
      </c>
      <c r="E1254" t="s">
        <v>33</v>
      </c>
      <c r="H1254" t="s">
        <v>54</v>
      </c>
      <c r="I1254" t="s">
        <v>80</v>
      </c>
      <c r="J1254" t="s">
        <v>563</v>
      </c>
      <c r="K1254" t="s">
        <v>564</v>
      </c>
      <c r="M1254">
        <v>0.15620000000000001</v>
      </c>
      <c r="N1254">
        <v>5</v>
      </c>
      <c r="P1254">
        <f>COUNTIFS(keyword_comparison[record_identifier],keyword_comparison[[#This Row],[record_identifier]],keyword_comparison[Review],"&lt;&gt;")</f>
        <v>8</v>
      </c>
      <c r="Q1254" cm="1">
        <f t="array" ref="Q1254">SUMPRODUCT((keyword_comparison[record_identifier]=keyword_comparison[[#This Row],[record_identifier]])*(LEN(keyword_comparison[keyword_matcher_output])&gt;0))</f>
        <v>0</v>
      </c>
    </row>
    <row r="1255" spans="1:17" x14ac:dyDescent="0.25">
      <c r="A1255" t="s">
        <v>959</v>
      </c>
      <c r="B1255" t="s">
        <v>960</v>
      </c>
      <c r="C1255" t="s">
        <v>961</v>
      </c>
      <c r="D1255" t="s">
        <v>20</v>
      </c>
      <c r="E1255" t="s">
        <v>33</v>
      </c>
      <c r="H1255" t="s">
        <v>54</v>
      </c>
      <c r="I1255" t="s">
        <v>88</v>
      </c>
      <c r="J1255" t="s">
        <v>273</v>
      </c>
      <c r="K1255" t="s">
        <v>274</v>
      </c>
      <c r="L1255" t="b">
        <v>1</v>
      </c>
      <c r="M1255">
        <v>0.10639999999999999</v>
      </c>
      <c r="N1255">
        <v>6</v>
      </c>
      <c r="P1255">
        <f>COUNTIFS(keyword_comparison[record_identifier],keyword_comparison[[#This Row],[record_identifier]],keyword_comparison[Review],"&lt;&gt;")</f>
        <v>8</v>
      </c>
      <c r="Q1255" cm="1">
        <f t="array" ref="Q1255">SUMPRODUCT((keyword_comparison[record_identifier]=keyword_comparison[[#This Row],[record_identifier]])*(LEN(keyword_comparison[keyword_matcher_output])&gt;0))</f>
        <v>0</v>
      </c>
    </row>
    <row r="1256" spans="1:17" x14ac:dyDescent="0.25">
      <c r="A1256" t="s">
        <v>959</v>
      </c>
      <c r="B1256" t="s">
        <v>960</v>
      </c>
      <c r="C1256" t="s">
        <v>961</v>
      </c>
      <c r="D1256" t="s">
        <v>20</v>
      </c>
      <c r="E1256" t="s">
        <v>33</v>
      </c>
      <c r="H1256" t="s">
        <v>54</v>
      </c>
      <c r="I1256" t="s">
        <v>88</v>
      </c>
      <c r="J1256" t="s">
        <v>191</v>
      </c>
      <c r="K1256" t="s">
        <v>192</v>
      </c>
      <c r="M1256">
        <v>0.1023</v>
      </c>
      <c r="N1256">
        <v>7</v>
      </c>
      <c r="P1256">
        <f>COUNTIFS(keyword_comparison[record_identifier],keyword_comparison[[#This Row],[record_identifier]],keyword_comparison[Review],"&lt;&gt;")</f>
        <v>8</v>
      </c>
      <c r="Q1256" cm="1">
        <f t="array" ref="Q1256">SUMPRODUCT((keyword_comparison[record_identifier]=keyword_comparison[[#This Row],[record_identifier]])*(LEN(keyword_comparison[keyword_matcher_output])&gt;0))</f>
        <v>0</v>
      </c>
    </row>
    <row r="1257" spans="1:17" x14ac:dyDescent="0.25">
      <c r="A1257" t="s">
        <v>959</v>
      </c>
      <c r="B1257" t="s">
        <v>960</v>
      </c>
      <c r="C1257" t="s">
        <v>961</v>
      </c>
      <c r="D1257" t="s">
        <v>20</v>
      </c>
      <c r="E1257" t="s">
        <v>48</v>
      </c>
      <c r="H1257" t="s">
        <v>54</v>
      </c>
      <c r="I1257" t="s">
        <v>80</v>
      </c>
      <c r="J1257" t="s">
        <v>84</v>
      </c>
      <c r="K1257" t="s">
        <v>85</v>
      </c>
      <c r="P1257">
        <f>COUNTIFS(keyword_comparison[record_identifier],keyword_comparison[[#This Row],[record_identifier]],keyword_comparison[Review],"&lt;&gt;")</f>
        <v>8</v>
      </c>
      <c r="Q1257" cm="1">
        <f t="array" ref="Q1257">SUMPRODUCT((keyword_comparison[record_identifier]=keyword_comparison[[#This Row],[record_identifier]])*(LEN(keyword_comparison[keyword_matcher_output])&gt;0))</f>
        <v>0</v>
      </c>
    </row>
    <row r="1258" spans="1:17" x14ac:dyDescent="0.25">
      <c r="A1258" t="s">
        <v>959</v>
      </c>
      <c r="B1258" t="s">
        <v>960</v>
      </c>
      <c r="C1258" t="s">
        <v>961</v>
      </c>
      <c r="D1258" t="s">
        <v>20</v>
      </c>
      <c r="E1258" t="s">
        <v>53</v>
      </c>
      <c r="F1258" t="s">
        <v>54</v>
      </c>
      <c r="G1258" t="s">
        <v>54</v>
      </c>
      <c r="H1258" t="s">
        <v>54</v>
      </c>
      <c r="J1258" t="s">
        <v>815</v>
      </c>
      <c r="K1258" t="s">
        <v>816</v>
      </c>
      <c r="O1258">
        <v>1</v>
      </c>
      <c r="P1258">
        <f>COUNTIFS(keyword_comparison[record_identifier],keyword_comparison[[#This Row],[record_identifier]],keyword_comparison[Review],"&lt;&gt;")</f>
        <v>8</v>
      </c>
      <c r="Q1258" cm="1">
        <f t="array" ref="Q1258">SUMPRODUCT((keyword_comparison[record_identifier]=keyword_comparison[[#This Row],[record_identifier]])*(LEN(keyword_comparison[keyword_matcher_output])&gt;0))</f>
        <v>0</v>
      </c>
    </row>
    <row r="1259" spans="1:17" x14ac:dyDescent="0.25">
      <c r="A1259" t="s">
        <v>959</v>
      </c>
      <c r="B1259" t="s">
        <v>960</v>
      </c>
      <c r="C1259" t="s">
        <v>961</v>
      </c>
      <c r="D1259" t="s">
        <v>20</v>
      </c>
      <c r="E1259" t="s">
        <v>53</v>
      </c>
      <c r="F1259" t="s">
        <v>54</v>
      </c>
      <c r="G1259" t="s">
        <v>54</v>
      </c>
      <c r="H1259" t="s">
        <v>54</v>
      </c>
      <c r="J1259" t="s">
        <v>211</v>
      </c>
      <c r="K1259" t="s">
        <v>212</v>
      </c>
      <c r="O1259">
        <v>2</v>
      </c>
      <c r="P1259">
        <f>COUNTIFS(keyword_comparison[record_identifier],keyword_comparison[[#This Row],[record_identifier]],keyword_comparison[Review],"&lt;&gt;")</f>
        <v>8</v>
      </c>
      <c r="Q1259" cm="1">
        <f t="array" ref="Q1259">SUMPRODUCT((keyword_comparison[record_identifier]=keyword_comparison[[#This Row],[record_identifier]])*(LEN(keyword_comparison[keyword_matcher_output])&gt;0))</f>
        <v>0</v>
      </c>
    </row>
    <row r="1260" spans="1:17" x14ac:dyDescent="0.25">
      <c r="A1260" t="s">
        <v>959</v>
      </c>
      <c r="B1260" t="s">
        <v>960</v>
      </c>
      <c r="C1260" t="s">
        <v>961</v>
      </c>
      <c r="D1260" t="s">
        <v>20</v>
      </c>
      <c r="E1260" t="s">
        <v>53</v>
      </c>
      <c r="F1260" t="s">
        <v>54</v>
      </c>
      <c r="G1260" t="s">
        <v>54</v>
      </c>
      <c r="H1260" t="s">
        <v>54</v>
      </c>
      <c r="J1260" t="s">
        <v>204</v>
      </c>
      <c r="K1260" t="s">
        <v>205</v>
      </c>
      <c r="O1260">
        <v>3</v>
      </c>
      <c r="P1260">
        <f>COUNTIFS(keyword_comparison[record_identifier],keyword_comparison[[#This Row],[record_identifier]],keyword_comparison[Review],"&lt;&gt;")</f>
        <v>8</v>
      </c>
      <c r="Q1260" cm="1">
        <f t="array" ref="Q1260">SUMPRODUCT((keyword_comparison[record_identifier]=keyword_comparison[[#This Row],[record_identifier]])*(LEN(keyword_comparison[keyword_matcher_output])&gt;0))</f>
        <v>0</v>
      </c>
    </row>
    <row r="1261" spans="1:17" x14ac:dyDescent="0.25">
      <c r="A1261" t="s">
        <v>959</v>
      </c>
      <c r="B1261" t="s">
        <v>960</v>
      </c>
      <c r="C1261" t="s">
        <v>961</v>
      </c>
      <c r="D1261" t="s">
        <v>20</v>
      </c>
      <c r="E1261" t="s">
        <v>53</v>
      </c>
      <c r="F1261" t="s">
        <v>54</v>
      </c>
      <c r="G1261" t="s">
        <v>54</v>
      </c>
      <c r="H1261" t="s">
        <v>54</v>
      </c>
      <c r="J1261" t="s">
        <v>563</v>
      </c>
      <c r="K1261" t="s">
        <v>564</v>
      </c>
      <c r="O1261">
        <v>4</v>
      </c>
      <c r="P1261">
        <f>COUNTIFS(keyword_comparison[record_identifier],keyword_comparison[[#This Row],[record_identifier]],keyword_comparison[Review],"&lt;&gt;")</f>
        <v>8</v>
      </c>
      <c r="Q1261" cm="1">
        <f t="array" ref="Q1261">SUMPRODUCT((keyword_comparison[record_identifier]=keyword_comparison[[#This Row],[record_identifier]])*(LEN(keyword_comparison[keyword_matcher_output])&gt;0))</f>
        <v>0</v>
      </c>
    </row>
    <row r="1262" spans="1:17" x14ac:dyDescent="0.25">
      <c r="A1262" t="s">
        <v>959</v>
      </c>
      <c r="B1262" t="s">
        <v>960</v>
      </c>
      <c r="C1262" t="s">
        <v>961</v>
      </c>
      <c r="D1262" t="s">
        <v>20</v>
      </c>
      <c r="E1262" t="s">
        <v>53</v>
      </c>
      <c r="F1262" t="s">
        <v>54</v>
      </c>
      <c r="G1262" t="s">
        <v>54</v>
      </c>
      <c r="H1262" t="s">
        <v>54</v>
      </c>
      <c r="J1262" t="s">
        <v>561</v>
      </c>
      <c r="K1262" t="s">
        <v>562</v>
      </c>
      <c r="O1262">
        <v>5</v>
      </c>
      <c r="P1262">
        <f>COUNTIFS(keyword_comparison[record_identifier],keyword_comparison[[#This Row],[record_identifier]],keyword_comparison[Review],"&lt;&gt;")</f>
        <v>8</v>
      </c>
      <c r="Q1262" cm="1">
        <f t="array" ref="Q1262">SUMPRODUCT((keyword_comparison[record_identifier]=keyword_comparison[[#This Row],[record_identifier]])*(LEN(keyword_comparison[keyword_matcher_output])&gt;0))</f>
        <v>0</v>
      </c>
    </row>
    <row r="1263" spans="1:17" x14ac:dyDescent="0.25">
      <c r="A1263" t="s">
        <v>959</v>
      </c>
      <c r="B1263" t="s">
        <v>960</v>
      </c>
      <c r="C1263" t="s">
        <v>961</v>
      </c>
      <c r="D1263" t="s">
        <v>20</v>
      </c>
      <c r="E1263" t="s">
        <v>53</v>
      </c>
      <c r="F1263" t="s">
        <v>54</v>
      </c>
      <c r="G1263" t="s">
        <v>54</v>
      </c>
      <c r="H1263" t="s">
        <v>54</v>
      </c>
      <c r="J1263" t="s">
        <v>565</v>
      </c>
      <c r="K1263" t="s">
        <v>566</v>
      </c>
      <c r="O1263">
        <v>6</v>
      </c>
      <c r="P1263">
        <f>COUNTIFS(keyword_comparison[record_identifier],keyword_comparison[[#This Row],[record_identifier]],keyword_comparison[Review],"&lt;&gt;")</f>
        <v>8</v>
      </c>
      <c r="Q1263" cm="1">
        <f t="array" ref="Q1263">SUMPRODUCT((keyword_comparison[record_identifier]=keyword_comparison[[#This Row],[record_identifier]])*(LEN(keyword_comparison[keyword_matcher_output])&gt;0))</f>
        <v>0</v>
      </c>
    </row>
    <row r="1264" spans="1:17" x14ac:dyDescent="0.25">
      <c r="A1264" t="s">
        <v>959</v>
      </c>
      <c r="B1264" t="s">
        <v>960</v>
      </c>
      <c r="C1264" t="s">
        <v>961</v>
      </c>
      <c r="D1264" t="s">
        <v>20</v>
      </c>
      <c r="E1264" t="s">
        <v>53</v>
      </c>
      <c r="F1264" t="s">
        <v>54</v>
      </c>
      <c r="G1264" t="s">
        <v>54</v>
      </c>
      <c r="H1264" t="s">
        <v>54</v>
      </c>
      <c r="J1264" t="s">
        <v>583</v>
      </c>
      <c r="K1264" t="s">
        <v>584</v>
      </c>
      <c r="O1264">
        <v>7</v>
      </c>
      <c r="P1264">
        <f>COUNTIFS(keyword_comparison[record_identifier],keyword_comparison[[#This Row],[record_identifier]],keyword_comparison[Review],"&lt;&gt;")</f>
        <v>8</v>
      </c>
      <c r="Q1264" cm="1">
        <f t="array" ref="Q1264">SUMPRODUCT((keyword_comparison[record_identifier]=keyword_comparison[[#This Row],[record_identifier]])*(LEN(keyword_comparison[keyword_matcher_output])&gt;0))</f>
        <v>0</v>
      </c>
    </row>
    <row r="1265" spans="1:17" x14ac:dyDescent="0.25">
      <c r="A1265" t="s">
        <v>959</v>
      </c>
      <c r="B1265" t="s">
        <v>960</v>
      </c>
      <c r="C1265" t="s">
        <v>961</v>
      </c>
      <c r="D1265" t="s">
        <v>20</v>
      </c>
      <c r="E1265" t="s">
        <v>53</v>
      </c>
      <c r="F1265" t="s">
        <v>54</v>
      </c>
      <c r="G1265" t="s">
        <v>54</v>
      </c>
      <c r="H1265" t="s">
        <v>54</v>
      </c>
      <c r="J1265" t="s">
        <v>184</v>
      </c>
      <c r="K1265" t="s">
        <v>185</v>
      </c>
      <c r="O1265">
        <v>8</v>
      </c>
      <c r="P1265">
        <f>COUNTIFS(keyword_comparison[record_identifier],keyword_comparison[[#This Row],[record_identifier]],keyword_comparison[Review],"&lt;&gt;")</f>
        <v>8</v>
      </c>
      <c r="Q1265" cm="1">
        <f t="array" ref="Q1265">SUMPRODUCT((keyword_comparison[record_identifier]=keyword_comparison[[#This Row],[record_identifier]])*(LEN(keyword_comparison[keyword_matcher_output])&gt;0))</f>
        <v>0</v>
      </c>
    </row>
    <row r="1266" spans="1:17" x14ac:dyDescent="0.25">
      <c r="A1266" t="s">
        <v>959</v>
      </c>
      <c r="B1266" t="s">
        <v>960</v>
      </c>
      <c r="C1266" t="s">
        <v>961</v>
      </c>
      <c r="D1266" t="s">
        <v>20</v>
      </c>
      <c r="E1266" t="s">
        <v>53</v>
      </c>
      <c r="F1266" t="s">
        <v>54</v>
      </c>
      <c r="G1266" t="s">
        <v>54</v>
      </c>
      <c r="H1266" t="s">
        <v>54</v>
      </c>
      <c r="J1266" t="s">
        <v>103</v>
      </c>
      <c r="K1266" t="s">
        <v>104</v>
      </c>
      <c r="O1266">
        <v>9</v>
      </c>
      <c r="P1266">
        <f>COUNTIFS(keyword_comparison[record_identifier],keyword_comparison[[#This Row],[record_identifier]],keyword_comparison[Review],"&lt;&gt;")</f>
        <v>8</v>
      </c>
      <c r="Q1266" cm="1">
        <f t="array" ref="Q1266">SUMPRODUCT((keyword_comparison[record_identifier]=keyword_comparison[[#This Row],[record_identifier]])*(LEN(keyword_comparison[keyword_matcher_output])&gt;0))</f>
        <v>0</v>
      </c>
    </row>
    <row r="1267" spans="1:17" x14ac:dyDescent="0.25">
      <c r="A1267" t="s">
        <v>959</v>
      </c>
      <c r="B1267" t="s">
        <v>960</v>
      </c>
      <c r="C1267" t="s">
        <v>961</v>
      </c>
      <c r="D1267" t="s">
        <v>20</v>
      </c>
      <c r="E1267" t="s">
        <v>53</v>
      </c>
      <c r="F1267" t="s">
        <v>54</v>
      </c>
      <c r="G1267" t="s">
        <v>54</v>
      </c>
      <c r="H1267" t="s">
        <v>54</v>
      </c>
      <c r="J1267" t="s">
        <v>217</v>
      </c>
      <c r="K1267" t="s">
        <v>218</v>
      </c>
      <c r="O1267">
        <v>10</v>
      </c>
      <c r="P1267">
        <f>COUNTIFS(keyword_comparison[record_identifier],keyword_comparison[[#This Row],[record_identifier]],keyword_comparison[Review],"&lt;&gt;")</f>
        <v>8</v>
      </c>
      <c r="Q1267" cm="1">
        <f t="array" ref="Q1267">SUMPRODUCT((keyword_comparison[record_identifier]=keyword_comparison[[#This Row],[record_identifier]])*(LEN(keyword_comparison[keyword_matcher_output])&gt;0))</f>
        <v>0</v>
      </c>
    </row>
    <row r="1268" spans="1:17" x14ac:dyDescent="0.25">
      <c r="A1268" t="s">
        <v>962</v>
      </c>
      <c r="B1268" t="s">
        <v>963</v>
      </c>
      <c r="C1268" t="s">
        <v>964</v>
      </c>
      <c r="D1268" t="s">
        <v>20</v>
      </c>
      <c r="E1268" t="s">
        <v>21</v>
      </c>
      <c r="F1268" t="s">
        <v>965</v>
      </c>
      <c r="G1268" t="s">
        <v>23</v>
      </c>
      <c r="H1268" t="s">
        <v>54</v>
      </c>
      <c r="P1268">
        <f>COUNTIFS(keyword_comparison[record_identifier],keyword_comparison[[#This Row],[record_identifier]],keyword_comparison[Review],"&lt;&gt;")</f>
        <v>0</v>
      </c>
      <c r="Q1268" cm="1">
        <f t="array" ref="Q1268">SUMPRODUCT((keyword_comparison[record_identifier]=keyword_comparison[[#This Row],[record_identifier]])*(LEN(keyword_comparison[keyword_matcher_output])&gt;0))</f>
        <v>0</v>
      </c>
    </row>
    <row r="1269" spans="1:17" x14ac:dyDescent="0.25">
      <c r="A1269" t="s">
        <v>962</v>
      </c>
      <c r="B1269" t="s">
        <v>963</v>
      </c>
      <c r="C1269" t="s">
        <v>964</v>
      </c>
      <c r="D1269" t="s">
        <v>20</v>
      </c>
      <c r="E1269" t="s">
        <v>21</v>
      </c>
      <c r="F1269" t="s">
        <v>364</v>
      </c>
      <c r="G1269" t="s">
        <v>23</v>
      </c>
      <c r="H1269" t="s">
        <v>54</v>
      </c>
      <c r="P1269">
        <f>COUNTIFS(keyword_comparison[record_identifier],keyword_comparison[[#This Row],[record_identifier]],keyword_comparison[Review],"&lt;&gt;")</f>
        <v>0</v>
      </c>
      <c r="Q1269" cm="1">
        <f t="array" ref="Q1269">SUMPRODUCT((keyword_comparison[record_identifier]=keyword_comparison[[#This Row],[record_identifier]])*(LEN(keyword_comparison[keyword_matcher_output])&gt;0))</f>
        <v>0</v>
      </c>
    </row>
    <row r="1270" spans="1:17" x14ac:dyDescent="0.25">
      <c r="A1270" t="s">
        <v>962</v>
      </c>
      <c r="B1270" t="s">
        <v>963</v>
      </c>
      <c r="C1270" t="s">
        <v>964</v>
      </c>
      <c r="D1270" t="s">
        <v>20</v>
      </c>
      <c r="E1270" t="s">
        <v>21</v>
      </c>
      <c r="F1270" t="s">
        <v>30</v>
      </c>
      <c r="G1270" t="s">
        <v>31</v>
      </c>
      <c r="H1270" t="s">
        <v>54</v>
      </c>
      <c r="P1270">
        <f>COUNTIFS(keyword_comparison[record_identifier],keyword_comparison[[#This Row],[record_identifier]],keyword_comparison[Review],"&lt;&gt;")</f>
        <v>0</v>
      </c>
      <c r="Q1270" cm="1">
        <f t="array" ref="Q1270">SUMPRODUCT((keyword_comparison[record_identifier]=keyword_comparison[[#This Row],[record_identifier]])*(LEN(keyword_comparison[keyword_matcher_output])&gt;0))</f>
        <v>0</v>
      </c>
    </row>
    <row r="1271" spans="1:17" x14ac:dyDescent="0.25">
      <c r="A1271" t="s">
        <v>962</v>
      </c>
      <c r="B1271" t="s">
        <v>963</v>
      </c>
      <c r="C1271" t="s">
        <v>964</v>
      </c>
      <c r="D1271" t="s">
        <v>20</v>
      </c>
      <c r="E1271" t="s">
        <v>21</v>
      </c>
      <c r="F1271" t="s">
        <v>32</v>
      </c>
      <c r="G1271" t="s">
        <v>31</v>
      </c>
      <c r="H1271" t="s">
        <v>54</v>
      </c>
      <c r="P1271">
        <f>COUNTIFS(keyword_comparison[record_identifier],keyword_comparison[[#This Row],[record_identifier]],keyword_comparison[Review],"&lt;&gt;")</f>
        <v>0</v>
      </c>
      <c r="Q1271" cm="1">
        <f t="array" ref="Q1271">SUMPRODUCT((keyword_comparison[record_identifier]=keyword_comparison[[#This Row],[record_identifier]])*(LEN(keyword_comparison[keyword_matcher_output])&gt;0))</f>
        <v>0</v>
      </c>
    </row>
    <row r="1272" spans="1:17" x14ac:dyDescent="0.25">
      <c r="A1272" t="s">
        <v>962</v>
      </c>
      <c r="B1272" t="s">
        <v>963</v>
      </c>
      <c r="C1272" t="s">
        <v>964</v>
      </c>
      <c r="D1272" t="s">
        <v>20</v>
      </c>
      <c r="E1272" t="s">
        <v>33</v>
      </c>
      <c r="H1272" t="s">
        <v>54</v>
      </c>
      <c r="J1272" t="s">
        <v>204</v>
      </c>
      <c r="K1272" t="s">
        <v>205</v>
      </c>
      <c r="L1272" t="b">
        <v>1</v>
      </c>
      <c r="M1272">
        <v>0.9365</v>
      </c>
      <c r="N1272">
        <v>1</v>
      </c>
      <c r="P1272">
        <f>COUNTIFS(keyword_comparison[record_identifier],keyword_comparison[[#This Row],[record_identifier]],keyword_comparison[Review],"&lt;&gt;")</f>
        <v>0</v>
      </c>
      <c r="Q1272" cm="1">
        <f t="array" ref="Q1272">SUMPRODUCT((keyword_comparison[record_identifier]=keyword_comparison[[#This Row],[record_identifier]])*(LEN(keyword_comparison[keyword_matcher_output])&gt;0))</f>
        <v>0</v>
      </c>
    </row>
    <row r="1273" spans="1:17" x14ac:dyDescent="0.25">
      <c r="A1273" t="s">
        <v>962</v>
      </c>
      <c r="B1273" t="s">
        <v>963</v>
      </c>
      <c r="C1273" t="s">
        <v>964</v>
      </c>
      <c r="D1273" t="s">
        <v>20</v>
      </c>
      <c r="E1273" t="s">
        <v>33</v>
      </c>
      <c r="H1273" t="s">
        <v>54</v>
      </c>
      <c r="J1273" t="s">
        <v>258</v>
      </c>
      <c r="K1273" t="s">
        <v>259</v>
      </c>
      <c r="M1273">
        <v>0.37919999999999998</v>
      </c>
      <c r="N1273">
        <v>2</v>
      </c>
      <c r="P1273">
        <f>COUNTIFS(keyword_comparison[record_identifier],keyword_comparison[[#This Row],[record_identifier]],keyword_comparison[Review],"&lt;&gt;")</f>
        <v>0</v>
      </c>
      <c r="Q1273" cm="1">
        <f t="array" ref="Q1273">SUMPRODUCT((keyword_comparison[record_identifier]=keyword_comparison[[#This Row],[record_identifier]])*(LEN(keyword_comparison[keyword_matcher_output])&gt;0))</f>
        <v>0</v>
      </c>
    </row>
    <row r="1274" spans="1:17" x14ac:dyDescent="0.25">
      <c r="A1274" t="s">
        <v>962</v>
      </c>
      <c r="B1274" t="s">
        <v>963</v>
      </c>
      <c r="C1274" t="s">
        <v>964</v>
      </c>
      <c r="D1274" t="s">
        <v>20</v>
      </c>
      <c r="E1274" t="s">
        <v>33</v>
      </c>
      <c r="H1274" t="s">
        <v>54</v>
      </c>
      <c r="J1274" t="s">
        <v>273</v>
      </c>
      <c r="K1274" t="s">
        <v>274</v>
      </c>
      <c r="L1274" t="b">
        <v>1</v>
      </c>
      <c r="M1274">
        <v>0.33550000000000002</v>
      </c>
      <c r="N1274">
        <v>3</v>
      </c>
      <c r="P1274">
        <f>COUNTIFS(keyword_comparison[record_identifier],keyword_comparison[[#This Row],[record_identifier]],keyword_comparison[Review],"&lt;&gt;")</f>
        <v>0</v>
      </c>
      <c r="Q1274" cm="1">
        <f t="array" ref="Q1274">SUMPRODUCT((keyword_comparison[record_identifier]=keyword_comparison[[#This Row],[record_identifier]])*(LEN(keyword_comparison[keyword_matcher_output])&gt;0))</f>
        <v>0</v>
      </c>
    </row>
    <row r="1275" spans="1:17" x14ac:dyDescent="0.25">
      <c r="A1275" t="s">
        <v>962</v>
      </c>
      <c r="B1275" t="s">
        <v>963</v>
      </c>
      <c r="C1275" t="s">
        <v>964</v>
      </c>
      <c r="D1275" t="s">
        <v>20</v>
      </c>
      <c r="E1275" t="s">
        <v>33</v>
      </c>
      <c r="H1275" t="s">
        <v>54</v>
      </c>
      <c r="J1275" t="s">
        <v>38</v>
      </c>
      <c r="K1275" t="s">
        <v>39</v>
      </c>
      <c r="M1275">
        <v>0.14779999999999999</v>
      </c>
      <c r="N1275">
        <v>4</v>
      </c>
      <c r="P1275">
        <f>COUNTIFS(keyword_comparison[record_identifier],keyword_comparison[[#This Row],[record_identifier]],keyword_comparison[Review],"&lt;&gt;")</f>
        <v>0</v>
      </c>
      <c r="Q1275" cm="1">
        <f t="array" ref="Q1275">SUMPRODUCT((keyword_comparison[record_identifier]=keyword_comparison[[#This Row],[record_identifier]])*(LEN(keyword_comparison[keyword_matcher_output])&gt;0))</f>
        <v>0</v>
      </c>
    </row>
    <row r="1276" spans="1:17" x14ac:dyDescent="0.25">
      <c r="A1276" t="s">
        <v>962</v>
      </c>
      <c r="B1276" t="s">
        <v>963</v>
      </c>
      <c r="C1276" t="s">
        <v>964</v>
      </c>
      <c r="D1276" t="s">
        <v>20</v>
      </c>
      <c r="E1276" t="s">
        <v>33</v>
      </c>
      <c r="H1276" t="s">
        <v>54</v>
      </c>
      <c r="J1276" t="s">
        <v>191</v>
      </c>
      <c r="K1276" t="s">
        <v>192</v>
      </c>
      <c r="M1276">
        <v>0.13439999999999999</v>
      </c>
      <c r="N1276">
        <v>5</v>
      </c>
      <c r="P1276">
        <f>COUNTIFS(keyword_comparison[record_identifier],keyword_comparison[[#This Row],[record_identifier]],keyword_comparison[Review],"&lt;&gt;")</f>
        <v>0</v>
      </c>
      <c r="Q1276" cm="1">
        <f t="array" ref="Q1276">SUMPRODUCT((keyword_comparison[record_identifier]=keyword_comparison[[#This Row],[record_identifier]])*(LEN(keyword_comparison[keyword_matcher_output])&gt;0))</f>
        <v>0</v>
      </c>
    </row>
    <row r="1277" spans="1:17" x14ac:dyDescent="0.25">
      <c r="A1277" t="s">
        <v>962</v>
      </c>
      <c r="B1277" t="s">
        <v>963</v>
      </c>
      <c r="C1277" t="s">
        <v>964</v>
      </c>
      <c r="D1277" t="s">
        <v>20</v>
      </c>
      <c r="E1277" t="s">
        <v>33</v>
      </c>
      <c r="H1277" t="s">
        <v>54</v>
      </c>
      <c r="J1277" t="s">
        <v>46</v>
      </c>
      <c r="K1277" t="s">
        <v>47</v>
      </c>
      <c r="M1277">
        <v>5.7599999999999998E-2</v>
      </c>
      <c r="N1277">
        <v>6</v>
      </c>
      <c r="P1277">
        <f>COUNTIFS(keyword_comparison[record_identifier],keyword_comparison[[#This Row],[record_identifier]],keyword_comparison[Review],"&lt;&gt;")</f>
        <v>0</v>
      </c>
      <c r="Q1277" cm="1">
        <f t="array" ref="Q1277">SUMPRODUCT((keyword_comparison[record_identifier]=keyword_comparison[[#This Row],[record_identifier]])*(LEN(keyword_comparison[keyword_matcher_output])&gt;0))</f>
        <v>0</v>
      </c>
    </row>
    <row r="1278" spans="1:17" x14ac:dyDescent="0.25">
      <c r="A1278" t="s">
        <v>962</v>
      </c>
      <c r="B1278" t="s">
        <v>963</v>
      </c>
      <c r="C1278" t="s">
        <v>964</v>
      </c>
      <c r="D1278" t="s">
        <v>20</v>
      </c>
      <c r="E1278" t="s">
        <v>33</v>
      </c>
      <c r="H1278" t="s">
        <v>54</v>
      </c>
      <c r="J1278" t="s">
        <v>184</v>
      </c>
      <c r="K1278" t="s">
        <v>185</v>
      </c>
      <c r="M1278">
        <v>5.6099999999999997E-2</v>
      </c>
      <c r="N1278">
        <v>7</v>
      </c>
      <c r="P1278">
        <f>COUNTIFS(keyword_comparison[record_identifier],keyword_comparison[[#This Row],[record_identifier]],keyword_comparison[Review],"&lt;&gt;")</f>
        <v>0</v>
      </c>
      <c r="Q1278" cm="1">
        <f t="array" ref="Q1278">SUMPRODUCT((keyword_comparison[record_identifier]=keyword_comparison[[#This Row],[record_identifier]])*(LEN(keyword_comparison[keyword_matcher_output])&gt;0))</f>
        <v>0</v>
      </c>
    </row>
    <row r="1279" spans="1:17" x14ac:dyDescent="0.25">
      <c r="A1279" t="s">
        <v>962</v>
      </c>
      <c r="B1279" t="s">
        <v>963</v>
      </c>
      <c r="C1279" t="s">
        <v>964</v>
      </c>
      <c r="D1279" t="s">
        <v>20</v>
      </c>
      <c r="E1279" t="s">
        <v>33</v>
      </c>
      <c r="H1279" t="s">
        <v>54</v>
      </c>
      <c r="J1279" t="s">
        <v>255</v>
      </c>
      <c r="K1279" t="s">
        <v>256</v>
      </c>
      <c r="M1279">
        <v>5.2600000000000001E-2</v>
      </c>
      <c r="N1279">
        <v>8</v>
      </c>
      <c r="P1279">
        <f>COUNTIFS(keyword_comparison[record_identifier],keyword_comparison[[#This Row],[record_identifier]],keyword_comparison[Review],"&lt;&gt;")</f>
        <v>0</v>
      </c>
      <c r="Q1279" cm="1">
        <f t="array" ref="Q1279">SUMPRODUCT((keyword_comparison[record_identifier]=keyword_comparison[[#This Row],[record_identifier]])*(LEN(keyword_comparison[keyword_matcher_output])&gt;0))</f>
        <v>0</v>
      </c>
    </row>
    <row r="1280" spans="1:17" x14ac:dyDescent="0.25">
      <c r="A1280" t="s">
        <v>962</v>
      </c>
      <c r="B1280" t="s">
        <v>963</v>
      </c>
      <c r="C1280" t="s">
        <v>964</v>
      </c>
      <c r="D1280" t="s">
        <v>20</v>
      </c>
      <c r="E1280" t="s">
        <v>48</v>
      </c>
      <c r="H1280" t="s">
        <v>54</v>
      </c>
      <c r="J1280" t="s">
        <v>204</v>
      </c>
      <c r="K1280" t="s">
        <v>205</v>
      </c>
      <c r="L1280" t="b">
        <v>1</v>
      </c>
      <c r="P1280">
        <f>COUNTIFS(keyword_comparison[record_identifier],keyword_comparison[[#This Row],[record_identifier]],keyword_comparison[Review],"&lt;&gt;")</f>
        <v>0</v>
      </c>
      <c r="Q1280" cm="1">
        <f t="array" ref="Q1280">SUMPRODUCT((keyword_comparison[record_identifier]=keyword_comparison[[#This Row],[record_identifier]])*(LEN(keyword_comparison[keyword_matcher_output])&gt;0))</f>
        <v>0</v>
      </c>
    </row>
    <row r="1281" spans="1:17" x14ac:dyDescent="0.25">
      <c r="A1281" t="s">
        <v>962</v>
      </c>
      <c r="B1281" t="s">
        <v>963</v>
      </c>
      <c r="C1281" t="s">
        <v>964</v>
      </c>
      <c r="D1281" t="s">
        <v>20</v>
      </c>
      <c r="E1281" t="s">
        <v>48</v>
      </c>
      <c r="H1281" t="s">
        <v>54</v>
      </c>
      <c r="J1281" t="s">
        <v>255</v>
      </c>
      <c r="K1281" t="s">
        <v>256</v>
      </c>
      <c r="P1281">
        <f>COUNTIFS(keyword_comparison[record_identifier],keyword_comparison[[#This Row],[record_identifier]],keyword_comparison[Review],"&lt;&gt;")</f>
        <v>0</v>
      </c>
      <c r="Q1281" cm="1">
        <f t="array" ref="Q1281">SUMPRODUCT((keyword_comparison[record_identifier]=keyword_comparison[[#This Row],[record_identifier]])*(LEN(keyword_comparison[keyword_matcher_output])&gt;0))</f>
        <v>0</v>
      </c>
    </row>
    <row r="1282" spans="1:17" x14ac:dyDescent="0.25">
      <c r="A1282" t="s">
        <v>962</v>
      </c>
      <c r="B1282" t="s">
        <v>963</v>
      </c>
      <c r="C1282" t="s">
        <v>964</v>
      </c>
      <c r="D1282" t="s">
        <v>20</v>
      </c>
      <c r="E1282" t="s">
        <v>48</v>
      </c>
      <c r="H1282" t="s">
        <v>54</v>
      </c>
      <c r="J1282" t="s">
        <v>84</v>
      </c>
      <c r="K1282" t="s">
        <v>85</v>
      </c>
      <c r="P1282">
        <f>COUNTIFS(keyword_comparison[record_identifier],keyword_comparison[[#This Row],[record_identifier]],keyword_comparison[Review],"&lt;&gt;")</f>
        <v>0</v>
      </c>
      <c r="Q1282" cm="1">
        <f t="array" ref="Q1282">SUMPRODUCT((keyword_comparison[record_identifier]=keyword_comparison[[#This Row],[record_identifier]])*(LEN(keyword_comparison[keyword_matcher_output])&gt;0))</f>
        <v>0</v>
      </c>
    </row>
    <row r="1283" spans="1:17" x14ac:dyDescent="0.25">
      <c r="A1283" t="s">
        <v>962</v>
      </c>
      <c r="B1283" t="s">
        <v>963</v>
      </c>
      <c r="C1283" t="s">
        <v>964</v>
      </c>
      <c r="D1283" t="s">
        <v>20</v>
      </c>
      <c r="E1283" t="s">
        <v>48</v>
      </c>
      <c r="H1283" t="s">
        <v>54</v>
      </c>
      <c r="J1283" t="s">
        <v>42</v>
      </c>
      <c r="K1283" t="s">
        <v>43</v>
      </c>
      <c r="P1283">
        <f>COUNTIFS(keyword_comparison[record_identifier],keyword_comparison[[#This Row],[record_identifier]],keyword_comparison[Review],"&lt;&gt;")</f>
        <v>0</v>
      </c>
      <c r="Q1283" cm="1">
        <f t="array" ref="Q1283">SUMPRODUCT((keyword_comparison[record_identifier]=keyword_comparison[[#This Row],[record_identifier]])*(LEN(keyword_comparison[keyword_matcher_output])&gt;0))</f>
        <v>0</v>
      </c>
    </row>
    <row r="1284" spans="1:17" x14ac:dyDescent="0.25">
      <c r="A1284" t="s">
        <v>962</v>
      </c>
      <c r="B1284" t="s">
        <v>963</v>
      </c>
      <c r="C1284" t="s">
        <v>964</v>
      </c>
      <c r="D1284" t="s">
        <v>20</v>
      </c>
      <c r="E1284" t="s">
        <v>48</v>
      </c>
      <c r="H1284" t="s">
        <v>54</v>
      </c>
      <c r="J1284" t="s">
        <v>257</v>
      </c>
      <c r="K1284" t="s">
        <v>205</v>
      </c>
      <c r="L1284" t="b">
        <v>1</v>
      </c>
      <c r="P1284">
        <f>COUNTIFS(keyword_comparison[record_identifier],keyword_comparison[[#This Row],[record_identifier]],keyword_comparison[Review],"&lt;&gt;")</f>
        <v>0</v>
      </c>
      <c r="Q1284" cm="1">
        <f t="array" ref="Q1284">SUMPRODUCT((keyword_comparison[record_identifier]=keyword_comparison[[#This Row],[record_identifier]])*(LEN(keyword_comparison[keyword_matcher_output])&gt;0))</f>
        <v>0</v>
      </c>
    </row>
    <row r="1285" spans="1:17" x14ac:dyDescent="0.25">
      <c r="A1285" t="s">
        <v>962</v>
      </c>
      <c r="B1285" t="s">
        <v>963</v>
      </c>
      <c r="C1285" t="s">
        <v>964</v>
      </c>
      <c r="D1285" t="s">
        <v>20</v>
      </c>
      <c r="E1285" t="s">
        <v>53</v>
      </c>
      <c r="F1285" t="s">
        <v>54</v>
      </c>
      <c r="G1285" t="s">
        <v>54</v>
      </c>
      <c r="H1285" t="s">
        <v>54</v>
      </c>
      <c r="J1285" t="s">
        <v>204</v>
      </c>
      <c r="K1285" t="s">
        <v>205</v>
      </c>
      <c r="O1285">
        <v>1</v>
      </c>
      <c r="P1285">
        <f>COUNTIFS(keyword_comparison[record_identifier],keyword_comparison[[#This Row],[record_identifier]],keyword_comparison[Review],"&lt;&gt;")</f>
        <v>0</v>
      </c>
      <c r="Q1285" cm="1">
        <f t="array" ref="Q1285">SUMPRODUCT((keyword_comparison[record_identifier]=keyword_comparison[[#This Row],[record_identifier]])*(LEN(keyword_comparison[keyword_matcher_output])&gt;0))</f>
        <v>0</v>
      </c>
    </row>
    <row r="1286" spans="1:17" x14ac:dyDescent="0.25">
      <c r="A1286" t="s">
        <v>962</v>
      </c>
      <c r="B1286" t="s">
        <v>963</v>
      </c>
      <c r="C1286" t="s">
        <v>964</v>
      </c>
      <c r="D1286" t="s">
        <v>20</v>
      </c>
      <c r="E1286" t="s">
        <v>53</v>
      </c>
      <c r="F1286" t="s">
        <v>54</v>
      </c>
      <c r="G1286" t="s">
        <v>54</v>
      </c>
      <c r="H1286" t="s">
        <v>54</v>
      </c>
      <c r="J1286" t="s">
        <v>255</v>
      </c>
      <c r="K1286" t="s">
        <v>256</v>
      </c>
      <c r="O1286">
        <v>2</v>
      </c>
      <c r="P1286">
        <f>COUNTIFS(keyword_comparison[record_identifier],keyword_comparison[[#This Row],[record_identifier]],keyword_comparison[Review],"&lt;&gt;")</f>
        <v>0</v>
      </c>
      <c r="Q1286" cm="1">
        <f t="array" ref="Q1286">SUMPRODUCT((keyword_comparison[record_identifier]=keyword_comparison[[#This Row],[record_identifier]])*(LEN(keyword_comparison[keyword_matcher_output])&gt;0))</f>
        <v>0</v>
      </c>
    </row>
    <row r="1287" spans="1:17" x14ac:dyDescent="0.25">
      <c r="A1287" t="s">
        <v>962</v>
      </c>
      <c r="B1287" t="s">
        <v>963</v>
      </c>
      <c r="C1287" t="s">
        <v>964</v>
      </c>
      <c r="D1287" t="s">
        <v>20</v>
      </c>
      <c r="E1287" t="s">
        <v>53</v>
      </c>
      <c r="F1287" t="s">
        <v>54</v>
      </c>
      <c r="G1287" t="s">
        <v>54</v>
      </c>
      <c r="H1287" t="s">
        <v>54</v>
      </c>
      <c r="J1287" t="s">
        <v>477</v>
      </c>
      <c r="K1287" t="s">
        <v>478</v>
      </c>
      <c r="O1287">
        <v>3</v>
      </c>
      <c r="P1287">
        <f>COUNTIFS(keyword_comparison[record_identifier],keyword_comparison[[#This Row],[record_identifier]],keyword_comparison[Review],"&lt;&gt;")</f>
        <v>0</v>
      </c>
      <c r="Q1287" cm="1">
        <f t="array" ref="Q1287">SUMPRODUCT((keyword_comparison[record_identifier]=keyword_comparison[[#This Row],[record_identifier]])*(LEN(keyword_comparison[keyword_matcher_output])&gt;0))</f>
        <v>0</v>
      </c>
    </row>
    <row r="1288" spans="1:17" x14ac:dyDescent="0.25">
      <c r="A1288" t="s">
        <v>962</v>
      </c>
      <c r="B1288" t="s">
        <v>963</v>
      </c>
      <c r="C1288" t="s">
        <v>964</v>
      </c>
      <c r="D1288" t="s">
        <v>20</v>
      </c>
      <c r="E1288" t="s">
        <v>53</v>
      </c>
      <c r="F1288" t="s">
        <v>54</v>
      </c>
      <c r="G1288" t="s">
        <v>54</v>
      </c>
      <c r="H1288" t="s">
        <v>54</v>
      </c>
      <c r="J1288" t="s">
        <v>716</v>
      </c>
      <c r="K1288" t="s">
        <v>43</v>
      </c>
      <c r="O1288">
        <v>4</v>
      </c>
      <c r="P1288">
        <f>COUNTIFS(keyword_comparison[record_identifier],keyword_comparison[[#This Row],[record_identifier]],keyword_comparison[Review],"&lt;&gt;")</f>
        <v>0</v>
      </c>
      <c r="Q1288" cm="1">
        <f t="array" ref="Q1288">SUMPRODUCT((keyword_comparison[record_identifier]=keyword_comparison[[#This Row],[record_identifier]])*(LEN(keyword_comparison[keyword_matcher_output])&gt;0))</f>
        <v>0</v>
      </c>
    </row>
    <row r="1289" spans="1:17" x14ac:dyDescent="0.25">
      <c r="A1289" t="s">
        <v>962</v>
      </c>
      <c r="B1289" t="s">
        <v>963</v>
      </c>
      <c r="C1289" t="s">
        <v>964</v>
      </c>
      <c r="D1289" t="s">
        <v>20</v>
      </c>
      <c r="E1289" t="s">
        <v>53</v>
      </c>
      <c r="F1289" t="s">
        <v>54</v>
      </c>
      <c r="G1289" t="s">
        <v>54</v>
      </c>
      <c r="H1289" t="s">
        <v>54</v>
      </c>
      <c r="J1289" t="s">
        <v>576</v>
      </c>
      <c r="K1289" t="s">
        <v>198</v>
      </c>
      <c r="O1289">
        <v>6</v>
      </c>
      <c r="P1289">
        <f>COUNTIFS(keyword_comparison[record_identifier],keyword_comparison[[#This Row],[record_identifier]],keyword_comparison[Review],"&lt;&gt;")</f>
        <v>0</v>
      </c>
      <c r="Q1289" cm="1">
        <f t="array" ref="Q1289">SUMPRODUCT((keyword_comparison[record_identifier]=keyword_comparison[[#This Row],[record_identifier]])*(LEN(keyword_comparison[keyword_matcher_output])&gt;0))</f>
        <v>0</v>
      </c>
    </row>
    <row r="1290" spans="1:17" x14ac:dyDescent="0.25">
      <c r="A1290" t="s">
        <v>962</v>
      </c>
      <c r="B1290" t="s">
        <v>963</v>
      </c>
      <c r="C1290" t="s">
        <v>964</v>
      </c>
      <c r="D1290" t="s">
        <v>20</v>
      </c>
      <c r="E1290" t="s">
        <v>53</v>
      </c>
      <c r="F1290" t="s">
        <v>54</v>
      </c>
      <c r="G1290" t="s">
        <v>54</v>
      </c>
      <c r="H1290" t="s">
        <v>54</v>
      </c>
      <c r="J1290" t="s">
        <v>36</v>
      </c>
      <c r="K1290" t="s">
        <v>37</v>
      </c>
      <c r="O1290">
        <v>7</v>
      </c>
      <c r="P1290">
        <f>COUNTIFS(keyword_comparison[record_identifier],keyword_comparison[[#This Row],[record_identifier]],keyword_comparison[Review],"&lt;&gt;")</f>
        <v>0</v>
      </c>
      <c r="Q1290" cm="1">
        <f t="array" ref="Q1290">SUMPRODUCT((keyword_comparison[record_identifier]=keyword_comparison[[#This Row],[record_identifier]])*(LEN(keyword_comparison[keyword_matcher_output])&gt;0))</f>
        <v>0</v>
      </c>
    </row>
    <row r="1291" spans="1:17" x14ac:dyDescent="0.25">
      <c r="A1291" t="s">
        <v>962</v>
      </c>
      <c r="B1291" t="s">
        <v>963</v>
      </c>
      <c r="C1291" t="s">
        <v>964</v>
      </c>
      <c r="D1291" t="s">
        <v>20</v>
      </c>
      <c r="E1291" t="s">
        <v>53</v>
      </c>
      <c r="F1291" t="s">
        <v>54</v>
      </c>
      <c r="G1291" t="s">
        <v>54</v>
      </c>
      <c r="H1291" t="s">
        <v>54</v>
      </c>
      <c r="J1291" t="s">
        <v>411</v>
      </c>
      <c r="K1291" t="s">
        <v>50</v>
      </c>
      <c r="O1291">
        <v>8</v>
      </c>
      <c r="P1291">
        <f>COUNTIFS(keyword_comparison[record_identifier],keyword_comparison[[#This Row],[record_identifier]],keyword_comparison[Review],"&lt;&gt;")</f>
        <v>0</v>
      </c>
      <c r="Q1291" cm="1">
        <f t="array" ref="Q1291">SUMPRODUCT((keyword_comparison[record_identifier]=keyword_comparison[[#This Row],[record_identifier]])*(LEN(keyword_comparison[keyword_matcher_output])&gt;0))</f>
        <v>0</v>
      </c>
    </row>
    <row r="1292" spans="1:17" x14ac:dyDescent="0.25">
      <c r="A1292" t="s">
        <v>962</v>
      </c>
      <c r="B1292" t="s">
        <v>963</v>
      </c>
      <c r="C1292" t="s">
        <v>964</v>
      </c>
      <c r="D1292" t="s">
        <v>20</v>
      </c>
      <c r="E1292" t="s">
        <v>53</v>
      </c>
      <c r="F1292" t="s">
        <v>54</v>
      </c>
      <c r="G1292" t="s">
        <v>54</v>
      </c>
      <c r="H1292" t="s">
        <v>54</v>
      </c>
      <c r="J1292" t="s">
        <v>871</v>
      </c>
      <c r="K1292" t="s">
        <v>102</v>
      </c>
      <c r="O1292">
        <v>9</v>
      </c>
      <c r="P1292">
        <f>COUNTIFS(keyword_comparison[record_identifier],keyword_comparison[[#This Row],[record_identifier]],keyword_comparison[Review],"&lt;&gt;")</f>
        <v>0</v>
      </c>
      <c r="Q1292" cm="1">
        <f t="array" ref="Q1292">SUMPRODUCT((keyword_comparison[record_identifier]=keyword_comparison[[#This Row],[record_identifier]])*(LEN(keyword_comparison[keyword_matcher_output])&gt;0))</f>
        <v>0</v>
      </c>
    </row>
    <row r="1293" spans="1:17" x14ac:dyDescent="0.25">
      <c r="A1293" t="s">
        <v>962</v>
      </c>
      <c r="B1293" t="s">
        <v>963</v>
      </c>
      <c r="C1293" t="s">
        <v>964</v>
      </c>
      <c r="D1293" t="s">
        <v>20</v>
      </c>
      <c r="E1293" t="s">
        <v>53</v>
      </c>
      <c r="F1293" t="s">
        <v>54</v>
      </c>
      <c r="G1293" t="s">
        <v>54</v>
      </c>
      <c r="H1293" t="s">
        <v>54</v>
      </c>
      <c r="J1293" t="s">
        <v>211</v>
      </c>
      <c r="K1293" t="s">
        <v>212</v>
      </c>
      <c r="O1293">
        <v>10</v>
      </c>
      <c r="P1293">
        <f>COUNTIFS(keyword_comparison[record_identifier],keyword_comparison[[#This Row],[record_identifier]],keyword_comparison[Review],"&lt;&gt;")</f>
        <v>0</v>
      </c>
      <c r="Q1293" cm="1">
        <f t="array" ref="Q1293">SUMPRODUCT((keyword_comparison[record_identifier]=keyword_comparison[[#This Row],[record_identifier]])*(LEN(keyword_comparison[keyword_matcher_output])&gt;0))</f>
        <v>0</v>
      </c>
    </row>
  </sheetData>
  <conditionalFormatting sqref="A2:Q1293">
    <cfRule type="expression" dxfId="3" priority="5">
      <formula>$A1&lt;&gt;$A2</formula>
    </cfRule>
  </conditionalFormatting>
  <conditionalFormatting sqref="H2:J1293">
    <cfRule type="expression" dxfId="2" priority="1">
      <formula>$I2="!"</formula>
    </cfRule>
    <cfRule type="expression" dxfId="1" priority="2">
      <formula>$I2="o"</formula>
    </cfRule>
    <cfRule type="expression" dxfId="0" priority="3">
      <formula>$I2="x"</formula>
    </cfRule>
  </conditionalFormatting>
  <hyperlinks>
    <hyperlink ref="K47" r:id="rId1" location="Biomass" xr:uid="{2995CCF4-A0BA-4CD9-AE3E-1DA0D979A6B7}"/>
    <hyperlink ref="K48" r:id="rId2" location="AgriculturalSustainability" xr:uid="{286FF920-4C7E-4971-8EAF-96F8FF313CC5}"/>
    <hyperlink ref="K551" r:id="rId3" location="SoilOrganicCarbon" xr:uid="{1C6A7741-49EF-4558-92DC-3BE1B9D1A83C}"/>
    <hyperlink ref="A1140" r:id="rId4" xr:uid="{9EC4F986-5ACC-45B2-982C-A3F9DB29AB3C}"/>
    <hyperlink ref="A1005" r:id="rId5" xr:uid="{FCD79F6A-F077-4AC4-A88C-9F1AE90D3DA3}"/>
    <hyperlink ref="H410" r:id="rId6" location="SoilSubsidence" xr:uid="{47FC1984-5408-4C40-A1EB-42D0882DF172}"/>
  </hyperlinks>
  <pageMargins left="0.75" right="0.75" top="1" bottom="1" header="0.5" footer="0.5"/>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E962-2D89-4399-B889-63A340DD5D19}">
  <dimension ref="A1:M405"/>
  <sheetViews>
    <sheetView workbookViewId="0"/>
  </sheetViews>
  <sheetFormatPr defaultRowHeight="15" x14ac:dyDescent="0.25"/>
  <cols>
    <col min="1" max="1" width="50" customWidth="1"/>
    <col min="2" max="2" width="15.140625" customWidth="1"/>
    <col min="3" max="3" width="18.85546875" customWidth="1"/>
    <col min="5" max="5" width="21.28515625" customWidth="1"/>
    <col min="6" max="6" width="7.140625" customWidth="1"/>
    <col min="7" max="7" width="16" customWidth="1"/>
    <col min="8" max="8" width="17.42578125" customWidth="1"/>
    <col min="9" max="9" width="25.42578125" customWidth="1"/>
    <col min="10" max="10" width="14" customWidth="1"/>
    <col min="11" max="11" width="20.28515625" customWidth="1"/>
    <col min="12" max="12" width="22.28515625" customWidth="1"/>
    <col min="13" max="13" width="15.28515625" customWidth="1"/>
  </cols>
  <sheetData>
    <row r="1" spans="1:13" x14ac:dyDescent="0.25">
      <c r="A1" t="s">
        <v>0</v>
      </c>
      <c r="B1" t="s">
        <v>1</v>
      </c>
      <c r="C1" t="s">
        <v>2</v>
      </c>
      <c r="D1" t="s">
        <v>3</v>
      </c>
      <c r="E1" t="s">
        <v>4</v>
      </c>
      <c r="F1" t="s">
        <v>5</v>
      </c>
      <c r="G1" t="s">
        <v>6</v>
      </c>
      <c r="H1" t="s">
        <v>9</v>
      </c>
      <c r="I1" t="s">
        <v>10</v>
      </c>
      <c r="J1" t="s">
        <v>966</v>
      </c>
      <c r="K1" t="s">
        <v>967</v>
      </c>
      <c r="L1" t="s">
        <v>968</v>
      </c>
      <c r="M1" t="s">
        <v>14</v>
      </c>
    </row>
    <row r="2" spans="1:13" x14ac:dyDescent="0.25">
      <c r="A2" t="s">
        <v>64</v>
      </c>
      <c r="B2" t="s">
        <v>65</v>
      </c>
      <c r="C2" t="s">
        <v>66</v>
      </c>
      <c r="D2" t="s">
        <v>20</v>
      </c>
      <c r="E2" t="s">
        <v>53</v>
      </c>
      <c r="F2" t="s">
        <v>54</v>
      </c>
      <c r="G2" t="s">
        <v>54</v>
      </c>
      <c r="H2" t="s">
        <v>89</v>
      </c>
      <c r="I2" t="s">
        <v>90</v>
      </c>
      <c r="M2">
        <v>1</v>
      </c>
    </row>
    <row r="3" spans="1:13" x14ac:dyDescent="0.25">
      <c r="A3" t="s">
        <v>64</v>
      </c>
      <c r="B3" t="s">
        <v>65</v>
      </c>
      <c r="C3" t="s">
        <v>66</v>
      </c>
      <c r="D3" t="s">
        <v>20</v>
      </c>
      <c r="E3" t="s">
        <v>53</v>
      </c>
      <c r="F3" t="s">
        <v>54</v>
      </c>
      <c r="G3" t="s">
        <v>54</v>
      </c>
      <c r="H3" t="s">
        <v>34</v>
      </c>
      <c r="I3" t="s">
        <v>35</v>
      </c>
      <c r="M3">
        <v>2</v>
      </c>
    </row>
    <row r="4" spans="1:13" x14ac:dyDescent="0.25">
      <c r="A4" t="s">
        <v>64</v>
      </c>
      <c r="B4" t="s">
        <v>65</v>
      </c>
      <c r="C4" t="s">
        <v>66</v>
      </c>
      <c r="D4" t="s">
        <v>20</v>
      </c>
      <c r="E4" t="s">
        <v>53</v>
      </c>
      <c r="F4" t="s">
        <v>54</v>
      </c>
      <c r="G4" t="s">
        <v>54</v>
      </c>
      <c r="H4" t="s">
        <v>96</v>
      </c>
      <c r="I4" t="s">
        <v>97</v>
      </c>
      <c r="M4">
        <v>3</v>
      </c>
    </row>
    <row r="5" spans="1:13" x14ac:dyDescent="0.25">
      <c r="A5" t="s">
        <v>64</v>
      </c>
      <c r="B5" t="s">
        <v>65</v>
      </c>
      <c r="C5" t="s">
        <v>66</v>
      </c>
      <c r="D5" t="s">
        <v>20</v>
      </c>
      <c r="E5" t="s">
        <v>53</v>
      </c>
      <c r="F5" t="s">
        <v>54</v>
      </c>
      <c r="G5" t="s">
        <v>54</v>
      </c>
      <c r="H5" t="s">
        <v>98</v>
      </c>
      <c r="I5" t="s">
        <v>93</v>
      </c>
      <c r="M5">
        <v>4</v>
      </c>
    </row>
    <row r="6" spans="1:13" x14ac:dyDescent="0.25">
      <c r="A6" t="s">
        <v>64</v>
      </c>
      <c r="B6" t="s">
        <v>65</v>
      </c>
      <c r="C6" t="s">
        <v>66</v>
      </c>
      <c r="D6" t="s">
        <v>20</v>
      </c>
      <c r="E6" t="s">
        <v>53</v>
      </c>
      <c r="F6" t="s">
        <v>54</v>
      </c>
      <c r="G6" t="s">
        <v>54</v>
      </c>
      <c r="H6" t="s">
        <v>98</v>
      </c>
      <c r="I6" t="s">
        <v>92</v>
      </c>
      <c r="M6">
        <v>4</v>
      </c>
    </row>
    <row r="7" spans="1:13" x14ac:dyDescent="0.25">
      <c r="A7" t="s">
        <v>64</v>
      </c>
      <c r="B7" t="s">
        <v>65</v>
      </c>
      <c r="C7" t="s">
        <v>66</v>
      </c>
      <c r="D7" t="s">
        <v>20</v>
      </c>
      <c r="E7" t="s">
        <v>53</v>
      </c>
      <c r="F7" t="s">
        <v>54</v>
      </c>
      <c r="G7" t="s">
        <v>54</v>
      </c>
      <c r="H7" t="s">
        <v>99</v>
      </c>
      <c r="I7" t="s">
        <v>100</v>
      </c>
      <c r="M7">
        <v>6</v>
      </c>
    </row>
    <row r="8" spans="1:13" x14ac:dyDescent="0.25">
      <c r="A8" t="s">
        <v>64</v>
      </c>
      <c r="B8" t="s">
        <v>65</v>
      </c>
      <c r="C8" t="s">
        <v>66</v>
      </c>
      <c r="D8" t="s">
        <v>20</v>
      </c>
      <c r="E8" t="s">
        <v>53</v>
      </c>
      <c r="F8" t="s">
        <v>54</v>
      </c>
      <c r="G8" t="s">
        <v>54</v>
      </c>
      <c r="H8" t="s">
        <v>101</v>
      </c>
      <c r="I8" t="s">
        <v>102</v>
      </c>
      <c r="M8">
        <v>7</v>
      </c>
    </row>
    <row r="9" spans="1:13" x14ac:dyDescent="0.25">
      <c r="A9" t="s">
        <v>64</v>
      </c>
      <c r="B9" t="s">
        <v>65</v>
      </c>
      <c r="C9" t="s">
        <v>66</v>
      </c>
      <c r="D9" t="s">
        <v>20</v>
      </c>
      <c r="E9" t="s">
        <v>53</v>
      </c>
      <c r="F9" t="s">
        <v>54</v>
      </c>
      <c r="G9" t="s">
        <v>54</v>
      </c>
      <c r="H9" t="s">
        <v>103</v>
      </c>
      <c r="I9" t="s">
        <v>104</v>
      </c>
      <c r="M9">
        <v>8</v>
      </c>
    </row>
    <row r="10" spans="1:13" x14ac:dyDescent="0.25">
      <c r="A10" t="s">
        <v>64</v>
      </c>
      <c r="B10" t="s">
        <v>65</v>
      </c>
      <c r="C10" t="s">
        <v>66</v>
      </c>
      <c r="D10" t="s">
        <v>20</v>
      </c>
      <c r="E10" t="s">
        <v>53</v>
      </c>
      <c r="F10" t="s">
        <v>54</v>
      </c>
      <c r="G10" t="s">
        <v>54</v>
      </c>
      <c r="H10" t="s">
        <v>105</v>
      </c>
      <c r="I10" t="s">
        <v>106</v>
      </c>
      <c r="M10">
        <v>9</v>
      </c>
    </row>
    <row r="11" spans="1:13" x14ac:dyDescent="0.25">
      <c r="A11" t="s">
        <v>64</v>
      </c>
      <c r="B11" t="s">
        <v>65</v>
      </c>
      <c r="C11" t="s">
        <v>66</v>
      </c>
      <c r="D11" t="s">
        <v>20</v>
      </c>
      <c r="E11" t="s">
        <v>53</v>
      </c>
      <c r="F11" t="s">
        <v>54</v>
      </c>
      <c r="G11" t="s">
        <v>54</v>
      </c>
      <c r="H11" t="s">
        <v>107</v>
      </c>
      <c r="I11" t="s">
        <v>108</v>
      </c>
      <c r="M11">
        <v>10</v>
      </c>
    </row>
    <row r="12" spans="1:13" x14ac:dyDescent="0.25">
      <c r="A12" t="s">
        <v>737</v>
      </c>
      <c r="B12" t="s">
        <v>738</v>
      </c>
      <c r="C12" t="s">
        <v>739</v>
      </c>
      <c r="D12" t="s">
        <v>740</v>
      </c>
      <c r="E12" t="s">
        <v>53</v>
      </c>
      <c r="F12" t="s">
        <v>54</v>
      </c>
      <c r="G12" t="s">
        <v>54</v>
      </c>
      <c r="H12" t="s">
        <v>642</v>
      </c>
      <c r="I12" t="s">
        <v>622</v>
      </c>
      <c r="M12">
        <v>1</v>
      </c>
    </row>
    <row r="13" spans="1:13" x14ac:dyDescent="0.25">
      <c r="A13" t="s">
        <v>737</v>
      </c>
      <c r="B13" t="s">
        <v>738</v>
      </c>
      <c r="C13" t="s">
        <v>739</v>
      </c>
      <c r="D13" t="s">
        <v>740</v>
      </c>
      <c r="E13" t="s">
        <v>53</v>
      </c>
      <c r="F13" t="s">
        <v>54</v>
      </c>
      <c r="G13" t="s">
        <v>54</v>
      </c>
      <c r="H13" t="s">
        <v>657</v>
      </c>
      <c r="I13" t="s">
        <v>658</v>
      </c>
      <c r="M13">
        <v>3</v>
      </c>
    </row>
    <row r="14" spans="1:13" x14ac:dyDescent="0.25">
      <c r="A14" t="s">
        <v>737</v>
      </c>
      <c r="B14" t="s">
        <v>738</v>
      </c>
      <c r="C14" t="s">
        <v>739</v>
      </c>
      <c r="D14" t="s">
        <v>740</v>
      </c>
      <c r="E14" t="s">
        <v>53</v>
      </c>
      <c r="F14" t="s">
        <v>54</v>
      </c>
      <c r="G14" t="s">
        <v>54</v>
      </c>
      <c r="H14" t="s">
        <v>762</v>
      </c>
      <c r="I14" t="s">
        <v>169</v>
      </c>
      <c r="M14">
        <v>4</v>
      </c>
    </row>
    <row r="15" spans="1:13" x14ac:dyDescent="0.25">
      <c r="A15" t="s">
        <v>737</v>
      </c>
      <c r="B15" t="s">
        <v>738</v>
      </c>
      <c r="C15" t="s">
        <v>739</v>
      </c>
      <c r="D15" t="s">
        <v>740</v>
      </c>
      <c r="E15" t="s">
        <v>53</v>
      </c>
      <c r="F15" t="s">
        <v>54</v>
      </c>
      <c r="G15" t="s">
        <v>54</v>
      </c>
      <c r="H15" t="s">
        <v>651</v>
      </c>
      <c r="I15" t="s">
        <v>652</v>
      </c>
      <c r="M15">
        <v>5</v>
      </c>
    </row>
    <row r="16" spans="1:13" x14ac:dyDescent="0.25">
      <c r="A16" t="s">
        <v>737</v>
      </c>
      <c r="B16" t="s">
        <v>738</v>
      </c>
      <c r="C16" t="s">
        <v>739</v>
      </c>
      <c r="D16" t="s">
        <v>740</v>
      </c>
      <c r="E16" t="s">
        <v>53</v>
      </c>
      <c r="F16" t="s">
        <v>54</v>
      </c>
      <c r="G16" t="s">
        <v>54</v>
      </c>
      <c r="H16" t="s">
        <v>638</v>
      </c>
      <c r="I16" t="s">
        <v>639</v>
      </c>
      <c r="M16">
        <v>7</v>
      </c>
    </row>
    <row r="17" spans="1:13" x14ac:dyDescent="0.25">
      <c r="A17" t="s">
        <v>737</v>
      </c>
      <c r="B17" t="s">
        <v>738</v>
      </c>
      <c r="C17" t="s">
        <v>739</v>
      </c>
      <c r="D17" t="s">
        <v>740</v>
      </c>
      <c r="E17" t="s">
        <v>53</v>
      </c>
      <c r="F17" t="s">
        <v>54</v>
      </c>
      <c r="G17" t="s">
        <v>54</v>
      </c>
      <c r="H17" t="s">
        <v>758</v>
      </c>
      <c r="I17" t="s">
        <v>759</v>
      </c>
      <c r="M17">
        <v>8</v>
      </c>
    </row>
    <row r="18" spans="1:13" x14ac:dyDescent="0.25">
      <c r="A18" t="s">
        <v>737</v>
      </c>
      <c r="B18" t="s">
        <v>738</v>
      </c>
      <c r="C18" t="s">
        <v>739</v>
      </c>
      <c r="D18" t="s">
        <v>740</v>
      </c>
      <c r="E18" t="s">
        <v>53</v>
      </c>
      <c r="F18" t="s">
        <v>54</v>
      </c>
      <c r="G18" t="s">
        <v>54</v>
      </c>
      <c r="H18" t="s">
        <v>646</v>
      </c>
      <c r="I18" t="s">
        <v>644</v>
      </c>
      <c r="M18">
        <v>9</v>
      </c>
    </row>
    <row r="19" spans="1:13" x14ac:dyDescent="0.25">
      <c r="A19" t="s">
        <v>737</v>
      </c>
      <c r="B19" t="s">
        <v>738</v>
      </c>
      <c r="C19" t="s">
        <v>739</v>
      </c>
      <c r="D19" t="s">
        <v>740</v>
      </c>
      <c r="E19" t="s">
        <v>53</v>
      </c>
      <c r="F19" t="s">
        <v>54</v>
      </c>
      <c r="G19" t="s">
        <v>54</v>
      </c>
      <c r="H19" t="s">
        <v>646</v>
      </c>
      <c r="I19" t="s">
        <v>645</v>
      </c>
      <c r="M19">
        <v>9</v>
      </c>
    </row>
    <row r="20" spans="1:13" x14ac:dyDescent="0.25">
      <c r="A20" t="s">
        <v>737</v>
      </c>
      <c r="B20" t="s">
        <v>738</v>
      </c>
      <c r="C20" t="s">
        <v>739</v>
      </c>
      <c r="D20" t="s">
        <v>740</v>
      </c>
      <c r="E20" t="s">
        <v>53</v>
      </c>
      <c r="F20" t="s">
        <v>54</v>
      </c>
      <c r="G20" t="s">
        <v>54</v>
      </c>
      <c r="H20" t="s">
        <v>632</v>
      </c>
      <c r="I20" t="s">
        <v>633</v>
      </c>
      <c r="M20">
        <v>10</v>
      </c>
    </row>
    <row r="21" spans="1:13" x14ac:dyDescent="0.25">
      <c r="A21" t="s">
        <v>213</v>
      </c>
      <c r="B21" t="s">
        <v>214</v>
      </c>
      <c r="C21" t="s">
        <v>215</v>
      </c>
      <c r="D21" t="s">
        <v>20</v>
      </c>
      <c r="E21" t="s">
        <v>53</v>
      </c>
      <c r="F21" t="s">
        <v>54</v>
      </c>
      <c r="G21" t="s">
        <v>54</v>
      </c>
      <c r="H21" t="s">
        <v>217</v>
      </c>
      <c r="I21" t="s">
        <v>218</v>
      </c>
      <c r="M21">
        <v>1</v>
      </c>
    </row>
    <row r="22" spans="1:13" x14ac:dyDescent="0.25">
      <c r="A22" t="s">
        <v>213</v>
      </c>
      <c r="B22" t="s">
        <v>214</v>
      </c>
      <c r="C22" t="s">
        <v>215</v>
      </c>
      <c r="D22" t="s">
        <v>20</v>
      </c>
      <c r="E22" t="s">
        <v>53</v>
      </c>
      <c r="F22" t="s">
        <v>54</v>
      </c>
      <c r="G22" t="s">
        <v>54</v>
      </c>
      <c r="H22" t="s">
        <v>231</v>
      </c>
      <c r="I22" t="s">
        <v>232</v>
      </c>
      <c r="M22">
        <v>2</v>
      </c>
    </row>
    <row r="23" spans="1:13" x14ac:dyDescent="0.25">
      <c r="A23" t="s">
        <v>213</v>
      </c>
      <c r="B23" t="s">
        <v>214</v>
      </c>
      <c r="C23" t="s">
        <v>215</v>
      </c>
      <c r="D23" t="s">
        <v>20</v>
      </c>
      <c r="E23" t="s">
        <v>53</v>
      </c>
      <c r="F23" t="s">
        <v>54</v>
      </c>
      <c r="G23" t="s">
        <v>54</v>
      </c>
      <c r="H23" t="s">
        <v>233</v>
      </c>
      <c r="I23" t="s">
        <v>234</v>
      </c>
      <c r="M23">
        <v>3</v>
      </c>
    </row>
    <row r="24" spans="1:13" x14ac:dyDescent="0.25">
      <c r="A24" t="s">
        <v>213</v>
      </c>
      <c r="B24" t="s">
        <v>214</v>
      </c>
      <c r="C24" t="s">
        <v>215</v>
      </c>
      <c r="D24" t="s">
        <v>20</v>
      </c>
      <c r="E24" t="s">
        <v>53</v>
      </c>
      <c r="F24" t="s">
        <v>54</v>
      </c>
      <c r="G24" t="s">
        <v>54</v>
      </c>
      <c r="H24" t="s">
        <v>235</v>
      </c>
      <c r="I24" t="s">
        <v>236</v>
      </c>
      <c r="M24">
        <v>4</v>
      </c>
    </row>
    <row r="25" spans="1:13" x14ac:dyDescent="0.25">
      <c r="A25" t="s">
        <v>213</v>
      </c>
      <c r="B25" t="s">
        <v>214</v>
      </c>
      <c r="C25" t="s">
        <v>215</v>
      </c>
      <c r="D25" t="s">
        <v>20</v>
      </c>
      <c r="E25" t="s">
        <v>53</v>
      </c>
      <c r="F25" t="s">
        <v>54</v>
      </c>
      <c r="G25" t="s">
        <v>54</v>
      </c>
      <c r="H25" t="s">
        <v>237</v>
      </c>
      <c r="I25" t="s">
        <v>238</v>
      </c>
      <c r="M25">
        <v>5</v>
      </c>
    </row>
    <row r="26" spans="1:13" x14ac:dyDescent="0.25">
      <c r="A26" t="s">
        <v>213</v>
      </c>
      <c r="B26" t="s">
        <v>214</v>
      </c>
      <c r="C26" t="s">
        <v>215</v>
      </c>
      <c r="D26" t="s">
        <v>20</v>
      </c>
      <c r="E26" t="s">
        <v>53</v>
      </c>
      <c r="F26" t="s">
        <v>54</v>
      </c>
      <c r="G26" t="s">
        <v>54</v>
      </c>
      <c r="H26" t="s">
        <v>187</v>
      </c>
      <c r="I26" t="s">
        <v>188</v>
      </c>
      <c r="M26">
        <v>6</v>
      </c>
    </row>
    <row r="27" spans="1:13" x14ac:dyDescent="0.25">
      <c r="A27" t="s">
        <v>213</v>
      </c>
      <c r="B27" t="s">
        <v>214</v>
      </c>
      <c r="C27" t="s">
        <v>215</v>
      </c>
      <c r="D27" t="s">
        <v>20</v>
      </c>
      <c r="E27" t="s">
        <v>53</v>
      </c>
      <c r="F27" t="s">
        <v>54</v>
      </c>
      <c r="G27" t="s">
        <v>54</v>
      </c>
      <c r="H27" t="s">
        <v>239</v>
      </c>
      <c r="I27" t="s">
        <v>124</v>
      </c>
      <c r="M27">
        <v>7</v>
      </c>
    </row>
    <row r="28" spans="1:13" x14ac:dyDescent="0.25">
      <c r="A28" t="s">
        <v>151</v>
      </c>
      <c r="B28" t="s">
        <v>152</v>
      </c>
      <c r="C28" t="s">
        <v>153</v>
      </c>
      <c r="D28" t="s">
        <v>20</v>
      </c>
      <c r="E28" t="s">
        <v>53</v>
      </c>
      <c r="F28" t="s">
        <v>54</v>
      </c>
      <c r="G28" t="s">
        <v>54</v>
      </c>
      <c r="H28" t="s">
        <v>98</v>
      </c>
      <c r="I28" t="s">
        <v>93</v>
      </c>
      <c r="M28">
        <v>1</v>
      </c>
    </row>
    <row r="29" spans="1:13" x14ac:dyDescent="0.25">
      <c r="A29" t="s">
        <v>151</v>
      </c>
      <c r="B29" t="s">
        <v>152</v>
      </c>
      <c r="C29" t="s">
        <v>153</v>
      </c>
      <c r="D29" t="s">
        <v>20</v>
      </c>
      <c r="E29" t="s">
        <v>53</v>
      </c>
      <c r="F29" t="s">
        <v>54</v>
      </c>
      <c r="G29" t="s">
        <v>54</v>
      </c>
      <c r="H29" t="s">
        <v>98</v>
      </c>
      <c r="I29" t="s">
        <v>92</v>
      </c>
      <c r="M29">
        <v>1</v>
      </c>
    </row>
    <row r="30" spans="1:13" x14ac:dyDescent="0.25">
      <c r="A30" t="s">
        <v>872</v>
      </c>
      <c r="B30" t="s">
        <v>873</v>
      </c>
      <c r="C30" t="s">
        <v>874</v>
      </c>
      <c r="D30" t="s">
        <v>20</v>
      </c>
      <c r="E30" t="s">
        <v>53</v>
      </c>
      <c r="F30" t="s">
        <v>54</v>
      </c>
      <c r="G30" t="s">
        <v>54</v>
      </c>
      <c r="H30" t="s">
        <v>51</v>
      </c>
      <c r="I30" t="s">
        <v>52</v>
      </c>
      <c r="M30">
        <v>1</v>
      </c>
    </row>
    <row r="31" spans="1:13" x14ac:dyDescent="0.25">
      <c r="A31" t="s">
        <v>872</v>
      </c>
      <c r="B31" t="s">
        <v>873</v>
      </c>
      <c r="C31" t="s">
        <v>874</v>
      </c>
      <c r="D31" t="s">
        <v>20</v>
      </c>
      <c r="E31" t="s">
        <v>53</v>
      </c>
      <c r="F31" t="s">
        <v>54</v>
      </c>
      <c r="G31" t="s">
        <v>54</v>
      </c>
      <c r="H31" t="s">
        <v>880</v>
      </c>
      <c r="I31" t="s">
        <v>881</v>
      </c>
      <c r="M31">
        <v>2</v>
      </c>
    </row>
    <row r="32" spans="1:13" x14ac:dyDescent="0.25">
      <c r="A32" t="s">
        <v>872</v>
      </c>
      <c r="B32" t="s">
        <v>873</v>
      </c>
      <c r="C32" t="s">
        <v>874</v>
      </c>
      <c r="D32" t="s">
        <v>20</v>
      </c>
      <c r="E32" t="s">
        <v>53</v>
      </c>
      <c r="F32" t="s">
        <v>54</v>
      </c>
      <c r="G32" t="s">
        <v>54</v>
      </c>
      <c r="H32" t="s">
        <v>882</v>
      </c>
      <c r="I32" t="s">
        <v>883</v>
      </c>
      <c r="M32">
        <v>3</v>
      </c>
    </row>
    <row r="33" spans="1:13" x14ac:dyDescent="0.25">
      <c r="A33" t="s">
        <v>872</v>
      </c>
      <c r="B33" t="s">
        <v>873</v>
      </c>
      <c r="C33" t="s">
        <v>874</v>
      </c>
      <c r="D33" t="s">
        <v>20</v>
      </c>
      <c r="E33" t="s">
        <v>53</v>
      </c>
      <c r="F33" t="s">
        <v>54</v>
      </c>
      <c r="G33" t="s">
        <v>54</v>
      </c>
      <c r="H33" t="s">
        <v>884</v>
      </c>
      <c r="I33" t="s">
        <v>405</v>
      </c>
      <c r="M33">
        <v>4</v>
      </c>
    </row>
    <row r="34" spans="1:13" x14ac:dyDescent="0.25">
      <c r="A34" t="s">
        <v>872</v>
      </c>
      <c r="B34" t="s">
        <v>873</v>
      </c>
      <c r="C34" t="s">
        <v>874</v>
      </c>
      <c r="D34" t="s">
        <v>20</v>
      </c>
      <c r="E34" t="s">
        <v>53</v>
      </c>
      <c r="F34" t="s">
        <v>54</v>
      </c>
      <c r="G34" t="s">
        <v>54</v>
      </c>
      <c r="H34" t="s">
        <v>255</v>
      </c>
      <c r="I34" t="s">
        <v>256</v>
      </c>
      <c r="M34">
        <v>5</v>
      </c>
    </row>
    <row r="35" spans="1:13" x14ac:dyDescent="0.25">
      <c r="A35" t="s">
        <v>872</v>
      </c>
      <c r="B35" t="s">
        <v>873</v>
      </c>
      <c r="C35" t="s">
        <v>874</v>
      </c>
      <c r="D35" t="s">
        <v>20</v>
      </c>
      <c r="E35" t="s">
        <v>53</v>
      </c>
      <c r="F35" t="s">
        <v>54</v>
      </c>
      <c r="G35" t="s">
        <v>54</v>
      </c>
      <c r="H35" t="s">
        <v>211</v>
      </c>
      <c r="I35" t="s">
        <v>212</v>
      </c>
      <c r="M35">
        <v>6</v>
      </c>
    </row>
    <row r="36" spans="1:13" x14ac:dyDescent="0.25">
      <c r="A36" t="s">
        <v>872</v>
      </c>
      <c r="B36" t="s">
        <v>873</v>
      </c>
      <c r="C36" t="s">
        <v>874</v>
      </c>
      <c r="D36" t="s">
        <v>20</v>
      </c>
      <c r="E36" t="s">
        <v>53</v>
      </c>
      <c r="F36" t="s">
        <v>54</v>
      </c>
      <c r="G36" t="s">
        <v>54</v>
      </c>
      <c r="H36" t="s">
        <v>885</v>
      </c>
      <c r="I36" t="s">
        <v>886</v>
      </c>
      <c r="M36">
        <v>7</v>
      </c>
    </row>
    <row r="37" spans="1:13" x14ac:dyDescent="0.25">
      <c r="A37" t="s">
        <v>872</v>
      </c>
      <c r="B37" t="s">
        <v>873</v>
      </c>
      <c r="C37" t="s">
        <v>874</v>
      </c>
      <c r="D37" t="s">
        <v>20</v>
      </c>
      <c r="E37" t="s">
        <v>53</v>
      </c>
      <c r="F37" t="s">
        <v>54</v>
      </c>
      <c r="G37" t="s">
        <v>54</v>
      </c>
      <c r="H37" t="s">
        <v>561</v>
      </c>
      <c r="I37" t="s">
        <v>562</v>
      </c>
      <c r="M37">
        <v>8</v>
      </c>
    </row>
    <row r="38" spans="1:13" x14ac:dyDescent="0.25">
      <c r="A38" t="s">
        <v>552</v>
      </c>
      <c r="B38" t="s">
        <v>553</v>
      </c>
      <c r="C38" t="s">
        <v>554</v>
      </c>
      <c r="D38" t="s">
        <v>20</v>
      </c>
      <c r="E38" t="s">
        <v>53</v>
      </c>
      <c r="F38" t="s">
        <v>54</v>
      </c>
      <c r="G38" t="s">
        <v>54</v>
      </c>
      <c r="H38" t="s">
        <v>204</v>
      </c>
      <c r="I38" t="s">
        <v>205</v>
      </c>
      <c r="M38">
        <v>1</v>
      </c>
    </row>
    <row r="39" spans="1:13" x14ac:dyDescent="0.25">
      <c r="A39" t="s">
        <v>552</v>
      </c>
      <c r="B39" t="s">
        <v>553</v>
      </c>
      <c r="C39" t="s">
        <v>554</v>
      </c>
      <c r="D39" t="s">
        <v>20</v>
      </c>
      <c r="E39" t="s">
        <v>53</v>
      </c>
      <c r="F39" t="s">
        <v>54</v>
      </c>
      <c r="G39" t="s">
        <v>54</v>
      </c>
      <c r="H39" t="s">
        <v>563</v>
      </c>
      <c r="I39" t="s">
        <v>564</v>
      </c>
      <c r="M39">
        <v>2</v>
      </c>
    </row>
    <row r="40" spans="1:13" x14ac:dyDescent="0.25">
      <c r="A40" t="s">
        <v>552</v>
      </c>
      <c r="B40" t="s">
        <v>553</v>
      </c>
      <c r="C40" t="s">
        <v>554</v>
      </c>
      <c r="D40" t="s">
        <v>20</v>
      </c>
      <c r="E40" t="s">
        <v>53</v>
      </c>
      <c r="F40" t="s">
        <v>54</v>
      </c>
      <c r="G40" t="s">
        <v>54</v>
      </c>
      <c r="H40" t="s">
        <v>101</v>
      </c>
      <c r="I40" t="s">
        <v>102</v>
      </c>
      <c r="M40">
        <v>3</v>
      </c>
    </row>
    <row r="41" spans="1:13" x14ac:dyDescent="0.25">
      <c r="A41" t="s">
        <v>552</v>
      </c>
      <c r="B41" t="s">
        <v>553</v>
      </c>
      <c r="C41" t="s">
        <v>554</v>
      </c>
      <c r="D41" t="s">
        <v>20</v>
      </c>
      <c r="E41" t="s">
        <v>53</v>
      </c>
      <c r="F41" t="s">
        <v>54</v>
      </c>
      <c r="G41" t="s">
        <v>54</v>
      </c>
      <c r="H41" t="s">
        <v>565</v>
      </c>
      <c r="I41" t="s">
        <v>566</v>
      </c>
      <c r="M41">
        <v>4</v>
      </c>
    </row>
    <row r="42" spans="1:13" x14ac:dyDescent="0.25">
      <c r="A42" t="s">
        <v>552</v>
      </c>
      <c r="B42" t="s">
        <v>553</v>
      </c>
      <c r="C42" t="s">
        <v>554</v>
      </c>
      <c r="D42" t="s">
        <v>20</v>
      </c>
      <c r="E42" t="s">
        <v>53</v>
      </c>
      <c r="F42" t="s">
        <v>54</v>
      </c>
      <c r="G42" t="s">
        <v>54</v>
      </c>
      <c r="H42" t="s">
        <v>206</v>
      </c>
      <c r="I42" t="s">
        <v>60</v>
      </c>
      <c r="M42">
        <v>5</v>
      </c>
    </row>
    <row r="43" spans="1:13" x14ac:dyDescent="0.25">
      <c r="A43" t="s">
        <v>552</v>
      </c>
      <c r="B43" t="s">
        <v>553</v>
      </c>
      <c r="C43" t="s">
        <v>554</v>
      </c>
      <c r="D43" t="s">
        <v>20</v>
      </c>
      <c r="E43" t="s">
        <v>53</v>
      </c>
      <c r="F43" t="s">
        <v>54</v>
      </c>
      <c r="G43" t="s">
        <v>54</v>
      </c>
      <c r="H43" t="s">
        <v>211</v>
      </c>
      <c r="I43" t="s">
        <v>212</v>
      </c>
      <c r="M43">
        <v>6</v>
      </c>
    </row>
    <row r="44" spans="1:13" x14ac:dyDescent="0.25">
      <c r="A44" t="s">
        <v>552</v>
      </c>
      <c r="B44" t="s">
        <v>553</v>
      </c>
      <c r="C44" t="s">
        <v>554</v>
      </c>
      <c r="D44" t="s">
        <v>20</v>
      </c>
      <c r="E44" t="s">
        <v>53</v>
      </c>
      <c r="F44" t="s">
        <v>54</v>
      </c>
      <c r="G44" t="s">
        <v>54</v>
      </c>
      <c r="H44" t="s">
        <v>34</v>
      </c>
      <c r="I44" t="s">
        <v>35</v>
      </c>
      <c r="M44">
        <v>7</v>
      </c>
    </row>
    <row r="45" spans="1:13" x14ac:dyDescent="0.25">
      <c r="A45" t="s">
        <v>552</v>
      </c>
      <c r="B45" t="s">
        <v>553</v>
      </c>
      <c r="C45" t="s">
        <v>554</v>
      </c>
      <c r="D45" t="s">
        <v>20</v>
      </c>
      <c r="E45" t="s">
        <v>53</v>
      </c>
      <c r="F45" t="s">
        <v>54</v>
      </c>
      <c r="G45" t="s">
        <v>54</v>
      </c>
      <c r="H45" t="s">
        <v>561</v>
      </c>
      <c r="I45" t="s">
        <v>562</v>
      </c>
      <c r="M45">
        <v>8</v>
      </c>
    </row>
    <row r="46" spans="1:13" x14ac:dyDescent="0.25">
      <c r="A46" t="s">
        <v>552</v>
      </c>
      <c r="B46" t="s">
        <v>553</v>
      </c>
      <c r="C46" t="s">
        <v>554</v>
      </c>
      <c r="D46" t="s">
        <v>20</v>
      </c>
      <c r="E46" t="s">
        <v>53</v>
      </c>
      <c r="F46" t="s">
        <v>54</v>
      </c>
      <c r="G46" t="s">
        <v>54</v>
      </c>
      <c r="H46" t="s">
        <v>567</v>
      </c>
      <c r="I46" t="s">
        <v>568</v>
      </c>
      <c r="M46">
        <v>9</v>
      </c>
    </row>
    <row r="47" spans="1:13" x14ac:dyDescent="0.25">
      <c r="A47" t="s">
        <v>552</v>
      </c>
      <c r="B47" t="s">
        <v>553</v>
      </c>
      <c r="C47" t="s">
        <v>554</v>
      </c>
      <c r="D47" t="s">
        <v>20</v>
      </c>
      <c r="E47" t="s">
        <v>53</v>
      </c>
      <c r="F47" t="s">
        <v>54</v>
      </c>
      <c r="G47" t="s">
        <v>54</v>
      </c>
      <c r="H47" t="s">
        <v>217</v>
      </c>
      <c r="I47" t="s">
        <v>218</v>
      </c>
      <c r="M47">
        <v>10</v>
      </c>
    </row>
    <row r="48" spans="1:13" x14ac:dyDescent="0.25">
      <c r="A48" t="s">
        <v>959</v>
      </c>
      <c r="B48" t="s">
        <v>960</v>
      </c>
      <c r="C48" t="s">
        <v>961</v>
      </c>
      <c r="D48" t="s">
        <v>20</v>
      </c>
      <c r="E48" t="s">
        <v>53</v>
      </c>
      <c r="F48" t="s">
        <v>54</v>
      </c>
      <c r="G48" t="s">
        <v>54</v>
      </c>
      <c r="H48" t="s">
        <v>815</v>
      </c>
      <c r="I48" t="s">
        <v>816</v>
      </c>
      <c r="M48">
        <v>1</v>
      </c>
    </row>
    <row r="49" spans="1:13" x14ac:dyDescent="0.25">
      <c r="A49" t="s">
        <v>959</v>
      </c>
      <c r="B49" t="s">
        <v>960</v>
      </c>
      <c r="C49" t="s">
        <v>961</v>
      </c>
      <c r="D49" t="s">
        <v>20</v>
      </c>
      <c r="E49" t="s">
        <v>53</v>
      </c>
      <c r="F49" t="s">
        <v>54</v>
      </c>
      <c r="G49" t="s">
        <v>54</v>
      </c>
      <c r="H49" t="s">
        <v>211</v>
      </c>
      <c r="I49" t="s">
        <v>212</v>
      </c>
      <c r="M49">
        <v>2</v>
      </c>
    </row>
    <row r="50" spans="1:13" x14ac:dyDescent="0.25">
      <c r="A50" t="s">
        <v>959</v>
      </c>
      <c r="B50" t="s">
        <v>960</v>
      </c>
      <c r="C50" t="s">
        <v>961</v>
      </c>
      <c r="D50" t="s">
        <v>20</v>
      </c>
      <c r="E50" t="s">
        <v>53</v>
      </c>
      <c r="F50" t="s">
        <v>54</v>
      </c>
      <c r="G50" t="s">
        <v>54</v>
      </c>
      <c r="H50" t="s">
        <v>204</v>
      </c>
      <c r="I50" t="s">
        <v>205</v>
      </c>
      <c r="M50">
        <v>3</v>
      </c>
    </row>
    <row r="51" spans="1:13" x14ac:dyDescent="0.25">
      <c r="A51" t="s">
        <v>959</v>
      </c>
      <c r="B51" t="s">
        <v>960</v>
      </c>
      <c r="C51" t="s">
        <v>961</v>
      </c>
      <c r="D51" t="s">
        <v>20</v>
      </c>
      <c r="E51" t="s">
        <v>53</v>
      </c>
      <c r="F51" t="s">
        <v>54</v>
      </c>
      <c r="G51" t="s">
        <v>54</v>
      </c>
      <c r="H51" t="s">
        <v>563</v>
      </c>
      <c r="I51" t="s">
        <v>564</v>
      </c>
      <c r="M51">
        <v>4</v>
      </c>
    </row>
    <row r="52" spans="1:13" x14ac:dyDescent="0.25">
      <c r="A52" t="s">
        <v>959</v>
      </c>
      <c r="B52" t="s">
        <v>960</v>
      </c>
      <c r="C52" t="s">
        <v>961</v>
      </c>
      <c r="D52" t="s">
        <v>20</v>
      </c>
      <c r="E52" t="s">
        <v>53</v>
      </c>
      <c r="F52" t="s">
        <v>54</v>
      </c>
      <c r="G52" t="s">
        <v>54</v>
      </c>
      <c r="H52" t="s">
        <v>561</v>
      </c>
      <c r="I52" t="s">
        <v>562</v>
      </c>
      <c r="M52">
        <v>5</v>
      </c>
    </row>
    <row r="53" spans="1:13" x14ac:dyDescent="0.25">
      <c r="A53" t="s">
        <v>959</v>
      </c>
      <c r="B53" t="s">
        <v>960</v>
      </c>
      <c r="C53" t="s">
        <v>961</v>
      </c>
      <c r="D53" t="s">
        <v>20</v>
      </c>
      <c r="E53" t="s">
        <v>53</v>
      </c>
      <c r="F53" t="s">
        <v>54</v>
      </c>
      <c r="G53" t="s">
        <v>54</v>
      </c>
      <c r="H53" t="s">
        <v>565</v>
      </c>
      <c r="I53" t="s">
        <v>566</v>
      </c>
      <c r="M53">
        <v>6</v>
      </c>
    </row>
    <row r="54" spans="1:13" x14ac:dyDescent="0.25">
      <c r="A54" t="s">
        <v>959</v>
      </c>
      <c r="B54" t="s">
        <v>960</v>
      </c>
      <c r="C54" t="s">
        <v>961</v>
      </c>
      <c r="D54" t="s">
        <v>20</v>
      </c>
      <c r="E54" t="s">
        <v>53</v>
      </c>
      <c r="F54" t="s">
        <v>54</v>
      </c>
      <c r="G54" t="s">
        <v>54</v>
      </c>
      <c r="H54" t="s">
        <v>583</v>
      </c>
      <c r="I54" t="s">
        <v>584</v>
      </c>
      <c r="M54">
        <v>7</v>
      </c>
    </row>
    <row r="55" spans="1:13" x14ac:dyDescent="0.25">
      <c r="A55" t="s">
        <v>959</v>
      </c>
      <c r="B55" t="s">
        <v>960</v>
      </c>
      <c r="C55" t="s">
        <v>961</v>
      </c>
      <c r="D55" t="s">
        <v>20</v>
      </c>
      <c r="E55" t="s">
        <v>53</v>
      </c>
      <c r="F55" t="s">
        <v>54</v>
      </c>
      <c r="G55" t="s">
        <v>54</v>
      </c>
      <c r="H55" t="s">
        <v>184</v>
      </c>
      <c r="I55" t="s">
        <v>185</v>
      </c>
      <c r="M55">
        <v>8</v>
      </c>
    </row>
    <row r="56" spans="1:13" x14ac:dyDescent="0.25">
      <c r="A56" t="s">
        <v>959</v>
      </c>
      <c r="B56" t="s">
        <v>960</v>
      </c>
      <c r="C56" t="s">
        <v>961</v>
      </c>
      <c r="D56" t="s">
        <v>20</v>
      </c>
      <c r="E56" t="s">
        <v>53</v>
      </c>
      <c r="F56" t="s">
        <v>54</v>
      </c>
      <c r="G56" t="s">
        <v>54</v>
      </c>
      <c r="H56" t="s">
        <v>103</v>
      </c>
      <c r="I56" t="s">
        <v>104</v>
      </c>
      <c r="M56">
        <v>9</v>
      </c>
    </row>
    <row r="57" spans="1:13" x14ac:dyDescent="0.25">
      <c r="A57" t="s">
        <v>959</v>
      </c>
      <c r="B57" t="s">
        <v>960</v>
      </c>
      <c r="C57" t="s">
        <v>961</v>
      </c>
      <c r="D57" t="s">
        <v>20</v>
      </c>
      <c r="E57" t="s">
        <v>53</v>
      </c>
      <c r="F57" t="s">
        <v>54</v>
      </c>
      <c r="G57" t="s">
        <v>54</v>
      </c>
      <c r="H57" t="s">
        <v>217</v>
      </c>
      <c r="I57" t="s">
        <v>218</v>
      </c>
      <c r="M57">
        <v>10</v>
      </c>
    </row>
    <row r="58" spans="1:13" x14ac:dyDescent="0.25">
      <c r="A58" t="s">
        <v>653</v>
      </c>
      <c r="B58" t="s">
        <v>654</v>
      </c>
      <c r="C58" t="s">
        <v>655</v>
      </c>
      <c r="D58" t="s">
        <v>20</v>
      </c>
      <c r="E58" t="s">
        <v>53</v>
      </c>
      <c r="F58" t="s">
        <v>54</v>
      </c>
      <c r="G58" t="s">
        <v>54</v>
      </c>
      <c r="H58" t="s">
        <v>558</v>
      </c>
      <c r="I58" t="s">
        <v>559</v>
      </c>
      <c r="M58">
        <v>1</v>
      </c>
    </row>
    <row r="59" spans="1:13" x14ac:dyDescent="0.25">
      <c r="A59" t="s">
        <v>653</v>
      </c>
      <c r="B59" t="s">
        <v>654</v>
      </c>
      <c r="C59" t="s">
        <v>655</v>
      </c>
      <c r="D59" t="s">
        <v>20</v>
      </c>
      <c r="E59" t="s">
        <v>53</v>
      </c>
      <c r="F59" t="s">
        <v>54</v>
      </c>
      <c r="G59" t="s">
        <v>54</v>
      </c>
      <c r="H59" t="s">
        <v>657</v>
      </c>
      <c r="I59" t="s">
        <v>658</v>
      </c>
      <c r="M59">
        <v>2</v>
      </c>
    </row>
    <row r="60" spans="1:13" x14ac:dyDescent="0.25">
      <c r="A60" t="s">
        <v>653</v>
      </c>
      <c r="B60" t="s">
        <v>654</v>
      </c>
      <c r="C60" t="s">
        <v>655</v>
      </c>
      <c r="D60" t="s">
        <v>20</v>
      </c>
      <c r="E60" t="s">
        <v>53</v>
      </c>
      <c r="F60" t="s">
        <v>54</v>
      </c>
      <c r="G60" t="s">
        <v>54</v>
      </c>
      <c r="H60" t="s">
        <v>659</v>
      </c>
      <c r="I60" t="s">
        <v>660</v>
      </c>
      <c r="M60">
        <v>3</v>
      </c>
    </row>
    <row r="61" spans="1:13" x14ac:dyDescent="0.25">
      <c r="A61" t="s">
        <v>653</v>
      </c>
      <c r="B61" t="s">
        <v>654</v>
      </c>
      <c r="C61" t="s">
        <v>655</v>
      </c>
      <c r="D61" t="s">
        <v>20</v>
      </c>
      <c r="E61" t="s">
        <v>53</v>
      </c>
      <c r="F61" t="s">
        <v>54</v>
      </c>
      <c r="G61" t="s">
        <v>54</v>
      </c>
      <c r="H61" t="s">
        <v>661</v>
      </c>
      <c r="I61" t="s">
        <v>662</v>
      </c>
      <c r="M61">
        <v>4</v>
      </c>
    </row>
    <row r="62" spans="1:13" x14ac:dyDescent="0.25">
      <c r="A62" t="s">
        <v>653</v>
      </c>
      <c r="B62" t="s">
        <v>654</v>
      </c>
      <c r="C62" t="s">
        <v>655</v>
      </c>
      <c r="D62" t="s">
        <v>20</v>
      </c>
      <c r="E62" t="s">
        <v>53</v>
      </c>
      <c r="F62" t="s">
        <v>54</v>
      </c>
      <c r="G62" t="s">
        <v>54</v>
      </c>
      <c r="H62" t="s">
        <v>449</v>
      </c>
      <c r="I62" t="s">
        <v>450</v>
      </c>
      <c r="M62">
        <v>5</v>
      </c>
    </row>
    <row r="63" spans="1:13" x14ac:dyDescent="0.25">
      <c r="A63" t="s">
        <v>653</v>
      </c>
      <c r="B63" t="s">
        <v>654</v>
      </c>
      <c r="C63" t="s">
        <v>655</v>
      </c>
      <c r="D63" t="s">
        <v>20</v>
      </c>
      <c r="E63" t="s">
        <v>53</v>
      </c>
      <c r="F63" t="s">
        <v>54</v>
      </c>
      <c r="G63" t="s">
        <v>54</v>
      </c>
      <c r="H63" t="s">
        <v>500</v>
      </c>
      <c r="I63" t="s">
        <v>501</v>
      </c>
      <c r="M63">
        <v>6</v>
      </c>
    </row>
    <row r="64" spans="1:13" x14ac:dyDescent="0.25">
      <c r="A64" t="s">
        <v>653</v>
      </c>
      <c r="B64" t="s">
        <v>654</v>
      </c>
      <c r="C64" t="s">
        <v>655</v>
      </c>
      <c r="D64" t="s">
        <v>20</v>
      </c>
      <c r="E64" t="s">
        <v>53</v>
      </c>
      <c r="F64" t="s">
        <v>54</v>
      </c>
      <c r="G64" t="s">
        <v>54</v>
      </c>
      <c r="H64" t="s">
        <v>663</v>
      </c>
      <c r="I64" t="s">
        <v>664</v>
      </c>
      <c r="M64">
        <v>7</v>
      </c>
    </row>
    <row r="65" spans="1:13" x14ac:dyDescent="0.25">
      <c r="A65" t="s">
        <v>653</v>
      </c>
      <c r="B65" t="s">
        <v>654</v>
      </c>
      <c r="C65" t="s">
        <v>655</v>
      </c>
      <c r="D65" t="s">
        <v>20</v>
      </c>
      <c r="E65" t="s">
        <v>53</v>
      </c>
      <c r="F65" t="s">
        <v>54</v>
      </c>
      <c r="G65" t="s">
        <v>54</v>
      </c>
      <c r="H65" t="s">
        <v>665</v>
      </c>
      <c r="I65" t="s">
        <v>666</v>
      </c>
      <c r="M65">
        <v>8</v>
      </c>
    </row>
    <row r="66" spans="1:13" x14ac:dyDescent="0.25">
      <c r="A66" t="s">
        <v>653</v>
      </c>
      <c r="B66" t="s">
        <v>654</v>
      </c>
      <c r="C66" t="s">
        <v>655</v>
      </c>
      <c r="D66" t="s">
        <v>20</v>
      </c>
      <c r="E66" t="s">
        <v>53</v>
      </c>
      <c r="F66" t="s">
        <v>54</v>
      </c>
      <c r="G66" t="s">
        <v>54</v>
      </c>
      <c r="H66" t="s">
        <v>667</v>
      </c>
      <c r="I66" t="s">
        <v>668</v>
      </c>
      <c r="M66">
        <v>9</v>
      </c>
    </row>
    <row r="67" spans="1:13" x14ac:dyDescent="0.25">
      <c r="A67" t="s">
        <v>653</v>
      </c>
      <c r="B67" t="s">
        <v>654</v>
      </c>
      <c r="C67" t="s">
        <v>655</v>
      </c>
      <c r="D67" t="s">
        <v>20</v>
      </c>
      <c r="E67" t="s">
        <v>53</v>
      </c>
      <c r="F67" t="s">
        <v>54</v>
      </c>
      <c r="G67" t="s">
        <v>54</v>
      </c>
      <c r="H67" t="s">
        <v>44</v>
      </c>
      <c r="I67" t="s">
        <v>45</v>
      </c>
      <c r="M67">
        <v>10</v>
      </c>
    </row>
    <row r="68" spans="1:13" x14ac:dyDescent="0.25">
      <c r="A68" t="s">
        <v>606</v>
      </c>
      <c r="B68" t="s">
        <v>607</v>
      </c>
      <c r="C68" t="s">
        <v>608</v>
      </c>
      <c r="D68" t="s">
        <v>20</v>
      </c>
      <c r="E68" t="s">
        <v>53</v>
      </c>
      <c r="F68" t="s">
        <v>54</v>
      </c>
      <c r="G68" t="s">
        <v>54</v>
      </c>
      <c r="H68" t="s">
        <v>547</v>
      </c>
      <c r="I68" t="s">
        <v>221</v>
      </c>
      <c r="M68">
        <v>1</v>
      </c>
    </row>
    <row r="69" spans="1:13" x14ac:dyDescent="0.25">
      <c r="A69" t="s">
        <v>606</v>
      </c>
      <c r="B69" t="s">
        <v>607</v>
      </c>
      <c r="C69" t="s">
        <v>608</v>
      </c>
      <c r="D69" t="s">
        <v>20</v>
      </c>
      <c r="E69" t="s">
        <v>53</v>
      </c>
      <c r="F69" t="s">
        <v>54</v>
      </c>
      <c r="G69" t="s">
        <v>54</v>
      </c>
      <c r="H69" t="s">
        <v>547</v>
      </c>
      <c r="I69" t="s">
        <v>220</v>
      </c>
      <c r="M69">
        <v>1</v>
      </c>
    </row>
    <row r="70" spans="1:13" x14ac:dyDescent="0.25">
      <c r="A70" t="s">
        <v>606</v>
      </c>
      <c r="B70" t="s">
        <v>607</v>
      </c>
      <c r="C70" t="s">
        <v>608</v>
      </c>
      <c r="D70" t="s">
        <v>20</v>
      </c>
      <c r="E70" t="s">
        <v>53</v>
      </c>
      <c r="F70" t="s">
        <v>54</v>
      </c>
      <c r="G70" t="s">
        <v>54</v>
      </c>
      <c r="H70" t="s">
        <v>89</v>
      </c>
      <c r="I70" t="s">
        <v>90</v>
      </c>
      <c r="M70">
        <v>2</v>
      </c>
    </row>
    <row r="71" spans="1:13" x14ac:dyDescent="0.25">
      <c r="A71" t="s">
        <v>606</v>
      </c>
      <c r="B71" t="s">
        <v>607</v>
      </c>
      <c r="C71" t="s">
        <v>608</v>
      </c>
      <c r="D71" t="s">
        <v>20</v>
      </c>
      <c r="E71" t="s">
        <v>53</v>
      </c>
      <c r="F71" t="s">
        <v>54</v>
      </c>
      <c r="G71" t="s">
        <v>54</v>
      </c>
      <c r="H71" t="s">
        <v>233</v>
      </c>
      <c r="I71" t="s">
        <v>234</v>
      </c>
      <c r="M71">
        <v>4</v>
      </c>
    </row>
    <row r="72" spans="1:13" x14ac:dyDescent="0.25">
      <c r="A72" t="s">
        <v>606</v>
      </c>
      <c r="B72" t="s">
        <v>607</v>
      </c>
      <c r="C72" t="s">
        <v>608</v>
      </c>
      <c r="D72" t="s">
        <v>20</v>
      </c>
      <c r="E72" t="s">
        <v>53</v>
      </c>
      <c r="F72" t="s">
        <v>54</v>
      </c>
      <c r="G72" t="s">
        <v>54</v>
      </c>
      <c r="H72" t="s">
        <v>407</v>
      </c>
      <c r="I72" t="s">
        <v>408</v>
      </c>
      <c r="M72">
        <v>5</v>
      </c>
    </row>
    <row r="73" spans="1:13" x14ac:dyDescent="0.25">
      <c r="A73" t="s">
        <v>606</v>
      </c>
      <c r="B73" t="s">
        <v>607</v>
      </c>
      <c r="C73" t="s">
        <v>608</v>
      </c>
      <c r="D73" t="s">
        <v>20</v>
      </c>
      <c r="E73" t="s">
        <v>53</v>
      </c>
      <c r="F73" t="s">
        <v>54</v>
      </c>
      <c r="G73" t="s">
        <v>54</v>
      </c>
      <c r="H73" t="s">
        <v>609</v>
      </c>
      <c r="I73" t="s">
        <v>610</v>
      </c>
      <c r="M73">
        <v>6</v>
      </c>
    </row>
    <row r="74" spans="1:13" x14ac:dyDescent="0.25">
      <c r="A74" t="s">
        <v>606</v>
      </c>
      <c r="B74" t="s">
        <v>607</v>
      </c>
      <c r="C74" t="s">
        <v>608</v>
      </c>
      <c r="D74" t="s">
        <v>20</v>
      </c>
      <c r="E74" t="s">
        <v>53</v>
      </c>
      <c r="F74" t="s">
        <v>54</v>
      </c>
      <c r="G74" t="s">
        <v>54</v>
      </c>
      <c r="H74" t="s">
        <v>248</v>
      </c>
      <c r="I74" t="s">
        <v>249</v>
      </c>
      <c r="M74">
        <v>7</v>
      </c>
    </row>
    <row r="75" spans="1:13" x14ac:dyDescent="0.25">
      <c r="A75" t="s">
        <v>606</v>
      </c>
      <c r="B75" t="s">
        <v>607</v>
      </c>
      <c r="C75" t="s">
        <v>608</v>
      </c>
      <c r="D75" t="s">
        <v>20</v>
      </c>
      <c r="E75" t="s">
        <v>53</v>
      </c>
      <c r="F75" t="s">
        <v>54</v>
      </c>
      <c r="G75" t="s">
        <v>54</v>
      </c>
      <c r="H75" t="s">
        <v>193</v>
      </c>
      <c r="I75" t="s">
        <v>194</v>
      </c>
      <c r="M75">
        <v>8</v>
      </c>
    </row>
    <row r="76" spans="1:13" x14ac:dyDescent="0.25">
      <c r="A76" t="s">
        <v>569</v>
      </c>
      <c r="B76" t="s">
        <v>570</v>
      </c>
      <c r="C76" t="s">
        <v>571</v>
      </c>
      <c r="D76" t="s">
        <v>20</v>
      </c>
      <c r="E76" t="s">
        <v>53</v>
      </c>
      <c r="F76" t="s">
        <v>54</v>
      </c>
      <c r="G76" t="s">
        <v>54</v>
      </c>
      <c r="H76" t="s">
        <v>576</v>
      </c>
      <c r="I76" t="s">
        <v>198</v>
      </c>
      <c r="M76">
        <v>1</v>
      </c>
    </row>
    <row r="77" spans="1:13" x14ac:dyDescent="0.25">
      <c r="A77" t="s">
        <v>569</v>
      </c>
      <c r="B77" t="s">
        <v>570</v>
      </c>
      <c r="C77" t="s">
        <v>571</v>
      </c>
      <c r="D77" t="s">
        <v>20</v>
      </c>
      <c r="E77" t="s">
        <v>53</v>
      </c>
      <c r="F77" t="s">
        <v>54</v>
      </c>
      <c r="G77" t="s">
        <v>54</v>
      </c>
      <c r="H77" t="s">
        <v>581</v>
      </c>
      <c r="I77" t="s">
        <v>582</v>
      </c>
      <c r="M77">
        <v>2</v>
      </c>
    </row>
    <row r="78" spans="1:13" x14ac:dyDescent="0.25">
      <c r="A78" t="s">
        <v>569</v>
      </c>
      <c r="B78" t="s">
        <v>570</v>
      </c>
      <c r="C78" t="s">
        <v>571</v>
      </c>
      <c r="D78" t="s">
        <v>20</v>
      </c>
      <c r="E78" t="s">
        <v>53</v>
      </c>
      <c r="F78" t="s">
        <v>54</v>
      </c>
      <c r="G78" t="s">
        <v>54</v>
      </c>
      <c r="H78" t="s">
        <v>51</v>
      </c>
      <c r="I78" t="s">
        <v>52</v>
      </c>
      <c r="M78">
        <v>3</v>
      </c>
    </row>
    <row r="79" spans="1:13" x14ac:dyDescent="0.25">
      <c r="A79" t="s">
        <v>569</v>
      </c>
      <c r="B79" t="s">
        <v>570</v>
      </c>
      <c r="C79" t="s">
        <v>571</v>
      </c>
      <c r="D79" t="s">
        <v>20</v>
      </c>
      <c r="E79" t="s">
        <v>53</v>
      </c>
      <c r="F79" t="s">
        <v>54</v>
      </c>
      <c r="G79" t="s">
        <v>54</v>
      </c>
      <c r="H79" t="s">
        <v>550</v>
      </c>
      <c r="I79" t="s">
        <v>551</v>
      </c>
      <c r="M79">
        <v>4</v>
      </c>
    </row>
    <row r="80" spans="1:13" x14ac:dyDescent="0.25">
      <c r="A80" t="s">
        <v>569</v>
      </c>
      <c r="B80" t="s">
        <v>570</v>
      </c>
      <c r="C80" t="s">
        <v>571</v>
      </c>
      <c r="D80" t="s">
        <v>20</v>
      </c>
      <c r="E80" t="s">
        <v>53</v>
      </c>
      <c r="F80" t="s">
        <v>54</v>
      </c>
      <c r="G80" t="s">
        <v>54</v>
      </c>
      <c r="H80" t="s">
        <v>260</v>
      </c>
      <c r="I80" t="s">
        <v>261</v>
      </c>
      <c r="M80">
        <v>5</v>
      </c>
    </row>
    <row r="81" spans="1:13" x14ac:dyDescent="0.25">
      <c r="A81" t="s">
        <v>569</v>
      </c>
      <c r="B81" t="s">
        <v>570</v>
      </c>
      <c r="C81" t="s">
        <v>571</v>
      </c>
      <c r="D81" t="s">
        <v>20</v>
      </c>
      <c r="E81" t="s">
        <v>53</v>
      </c>
      <c r="F81" t="s">
        <v>54</v>
      </c>
      <c r="G81" t="s">
        <v>54</v>
      </c>
      <c r="H81" t="s">
        <v>447</v>
      </c>
      <c r="I81" t="s">
        <v>448</v>
      </c>
      <c r="M81">
        <v>6</v>
      </c>
    </row>
    <row r="82" spans="1:13" x14ac:dyDescent="0.25">
      <c r="A82" t="s">
        <v>569</v>
      </c>
      <c r="B82" t="s">
        <v>570</v>
      </c>
      <c r="C82" t="s">
        <v>571</v>
      </c>
      <c r="D82" t="s">
        <v>20</v>
      </c>
      <c r="E82" t="s">
        <v>53</v>
      </c>
      <c r="F82" t="s">
        <v>54</v>
      </c>
      <c r="G82" t="s">
        <v>54</v>
      </c>
      <c r="H82" t="s">
        <v>567</v>
      </c>
      <c r="I82" t="s">
        <v>568</v>
      </c>
      <c r="M82">
        <v>7</v>
      </c>
    </row>
    <row r="83" spans="1:13" x14ac:dyDescent="0.25">
      <c r="A83" t="s">
        <v>569</v>
      </c>
      <c r="B83" t="s">
        <v>570</v>
      </c>
      <c r="C83" t="s">
        <v>571</v>
      </c>
      <c r="D83" t="s">
        <v>20</v>
      </c>
      <c r="E83" t="s">
        <v>53</v>
      </c>
      <c r="F83" t="s">
        <v>54</v>
      </c>
      <c r="G83" t="s">
        <v>54</v>
      </c>
      <c r="H83" t="s">
        <v>583</v>
      </c>
      <c r="I83" t="s">
        <v>584</v>
      </c>
      <c r="M83">
        <v>8</v>
      </c>
    </row>
    <row r="84" spans="1:13" x14ac:dyDescent="0.25">
      <c r="A84" t="s">
        <v>569</v>
      </c>
      <c r="B84" t="s">
        <v>570</v>
      </c>
      <c r="C84" t="s">
        <v>571</v>
      </c>
      <c r="D84" t="s">
        <v>20</v>
      </c>
      <c r="E84" t="s">
        <v>53</v>
      </c>
      <c r="F84" t="s">
        <v>54</v>
      </c>
      <c r="G84" t="s">
        <v>54</v>
      </c>
      <c r="H84" t="s">
        <v>61</v>
      </c>
      <c r="I84" t="s">
        <v>62</v>
      </c>
      <c r="M84">
        <v>9</v>
      </c>
    </row>
    <row r="85" spans="1:13" x14ac:dyDescent="0.25">
      <c r="A85" t="s">
        <v>569</v>
      </c>
      <c r="B85" t="s">
        <v>570</v>
      </c>
      <c r="C85" t="s">
        <v>571</v>
      </c>
      <c r="D85" t="s">
        <v>20</v>
      </c>
      <c r="E85" t="s">
        <v>53</v>
      </c>
      <c r="F85" t="s">
        <v>54</v>
      </c>
      <c r="G85" t="s">
        <v>54</v>
      </c>
      <c r="H85" t="s">
        <v>204</v>
      </c>
      <c r="I85" t="s">
        <v>205</v>
      </c>
      <c r="M85">
        <v>10</v>
      </c>
    </row>
    <row r="86" spans="1:13" x14ac:dyDescent="0.25">
      <c r="A86" t="s">
        <v>611</v>
      </c>
      <c r="B86" t="s">
        <v>612</v>
      </c>
      <c r="C86" t="s">
        <v>613</v>
      </c>
      <c r="D86" t="s">
        <v>20</v>
      </c>
      <c r="E86" t="s">
        <v>53</v>
      </c>
      <c r="F86" t="s">
        <v>54</v>
      </c>
      <c r="G86" t="s">
        <v>54</v>
      </c>
      <c r="H86" t="s">
        <v>252</v>
      </c>
      <c r="I86" t="s">
        <v>183</v>
      </c>
      <c r="M86">
        <v>1</v>
      </c>
    </row>
    <row r="87" spans="1:13" x14ac:dyDescent="0.25">
      <c r="A87" t="s">
        <v>611</v>
      </c>
      <c r="B87" t="s">
        <v>612</v>
      </c>
      <c r="C87" t="s">
        <v>613</v>
      </c>
      <c r="D87" t="s">
        <v>20</v>
      </c>
      <c r="E87" t="s">
        <v>53</v>
      </c>
      <c r="F87" t="s">
        <v>54</v>
      </c>
      <c r="G87" t="s">
        <v>54</v>
      </c>
      <c r="H87" t="s">
        <v>59</v>
      </c>
      <c r="I87" t="s">
        <v>60</v>
      </c>
      <c r="M87">
        <v>2</v>
      </c>
    </row>
    <row r="88" spans="1:13" x14ac:dyDescent="0.25">
      <c r="A88" t="s">
        <v>611</v>
      </c>
      <c r="B88" t="s">
        <v>612</v>
      </c>
      <c r="C88" t="s">
        <v>613</v>
      </c>
      <c r="D88" t="s">
        <v>20</v>
      </c>
      <c r="E88" t="s">
        <v>53</v>
      </c>
      <c r="F88" t="s">
        <v>54</v>
      </c>
      <c r="G88" t="s">
        <v>54</v>
      </c>
      <c r="H88" t="s">
        <v>204</v>
      </c>
      <c r="I88" t="s">
        <v>205</v>
      </c>
      <c r="M88">
        <v>3</v>
      </c>
    </row>
    <row r="89" spans="1:13" x14ac:dyDescent="0.25">
      <c r="A89" t="s">
        <v>611</v>
      </c>
      <c r="B89" t="s">
        <v>612</v>
      </c>
      <c r="C89" t="s">
        <v>613</v>
      </c>
      <c r="D89" t="s">
        <v>20</v>
      </c>
      <c r="E89" t="s">
        <v>53</v>
      </c>
      <c r="F89" t="s">
        <v>54</v>
      </c>
      <c r="G89" t="s">
        <v>54</v>
      </c>
      <c r="H89" t="s">
        <v>36</v>
      </c>
      <c r="I89" t="s">
        <v>37</v>
      </c>
      <c r="M89">
        <v>4</v>
      </c>
    </row>
    <row r="90" spans="1:13" x14ac:dyDescent="0.25">
      <c r="A90" t="s">
        <v>611</v>
      </c>
      <c r="B90" t="s">
        <v>612</v>
      </c>
      <c r="C90" t="s">
        <v>613</v>
      </c>
      <c r="D90" t="s">
        <v>20</v>
      </c>
      <c r="E90" t="s">
        <v>53</v>
      </c>
      <c r="F90" t="s">
        <v>54</v>
      </c>
      <c r="G90" t="s">
        <v>54</v>
      </c>
      <c r="H90" t="s">
        <v>189</v>
      </c>
      <c r="I90" t="s">
        <v>190</v>
      </c>
      <c r="M90">
        <v>5</v>
      </c>
    </row>
    <row r="91" spans="1:13" x14ac:dyDescent="0.25">
      <c r="A91" t="s">
        <v>611</v>
      </c>
      <c r="B91" t="s">
        <v>612</v>
      </c>
      <c r="C91" t="s">
        <v>613</v>
      </c>
      <c r="D91" t="s">
        <v>20</v>
      </c>
      <c r="E91" t="s">
        <v>53</v>
      </c>
      <c r="F91" t="s">
        <v>54</v>
      </c>
      <c r="G91" t="s">
        <v>54</v>
      </c>
      <c r="H91" t="s">
        <v>186</v>
      </c>
      <c r="I91" t="s">
        <v>174</v>
      </c>
      <c r="M91">
        <v>6</v>
      </c>
    </row>
    <row r="92" spans="1:13" x14ac:dyDescent="0.25">
      <c r="A92" t="s">
        <v>611</v>
      </c>
      <c r="B92" t="s">
        <v>612</v>
      </c>
      <c r="C92" t="s">
        <v>613</v>
      </c>
      <c r="D92" t="s">
        <v>20</v>
      </c>
      <c r="E92" t="s">
        <v>53</v>
      </c>
      <c r="F92" t="s">
        <v>54</v>
      </c>
      <c r="G92" t="s">
        <v>54</v>
      </c>
      <c r="H92" t="s">
        <v>211</v>
      </c>
      <c r="I92" t="s">
        <v>212</v>
      </c>
      <c r="M92">
        <v>7</v>
      </c>
    </row>
    <row r="93" spans="1:13" x14ac:dyDescent="0.25">
      <c r="A93" t="s">
        <v>611</v>
      </c>
      <c r="B93" t="s">
        <v>612</v>
      </c>
      <c r="C93" t="s">
        <v>613</v>
      </c>
      <c r="D93" t="s">
        <v>20</v>
      </c>
      <c r="E93" t="s">
        <v>53</v>
      </c>
      <c r="F93" t="s">
        <v>54</v>
      </c>
      <c r="G93" t="s">
        <v>54</v>
      </c>
      <c r="H93" t="s">
        <v>508</v>
      </c>
      <c r="I93" t="s">
        <v>509</v>
      </c>
      <c r="M93">
        <v>8</v>
      </c>
    </row>
    <row r="94" spans="1:13" x14ac:dyDescent="0.25">
      <c r="A94" t="s">
        <v>611</v>
      </c>
      <c r="B94" t="s">
        <v>612</v>
      </c>
      <c r="C94" t="s">
        <v>613</v>
      </c>
      <c r="D94" t="s">
        <v>20</v>
      </c>
      <c r="E94" t="s">
        <v>53</v>
      </c>
      <c r="F94" t="s">
        <v>54</v>
      </c>
      <c r="G94" t="s">
        <v>54</v>
      </c>
      <c r="H94" t="s">
        <v>318</v>
      </c>
      <c r="I94" t="s">
        <v>319</v>
      </c>
      <c r="M94">
        <v>9</v>
      </c>
    </row>
    <row r="95" spans="1:13" x14ac:dyDescent="0.25">
      <c r="A95" t="s">
        <v>590</v>
      </c>
      <c r="B95" t="s">
        <v>591</v>
      </c>
      <c r="C95" t="s">
        <v>592</v>
      </c>
      <c r="D95" t="s">
        <v>20</v>
      </c>
      <c r="E95" t="s">
        <v>53</v>
      </c>
      <c r="F95" t="s">
        <v>54</v>
      </c>
      <c r="G95" t="s">
        <v>54</v>
      </c>
      <c r="H95" t="s">
        <v>597</v>
      </c>
      <c r="I95" t="s">
        <v>596</v>
      </c>
      <c r="M95">
        <v>1</v>
      </c>
    </row>
    <row r="96" spans="1:13" x14ac:dyDescent="0.25">
      <c r="A96" t="s">
        <v>590</v>
      </c>
      <c r="B96" t="s">
        <v>591</v>
      </c>
      <c r="C96" t="s">
        <v>592</v>
      </c>
      <c r="D96" t="s">
        <v>20</v>
      </c>
      <c r="E96" t="s">
        <v>53</v>
      </c>
      <c r="F96" t="s">
        <v>54</v>
      </c>
      <c r="G96" t="s">
        <v>54</v>
      </c>
      <c r="H96" t="s">
        <v>598</v>
      </c>
      <c r="I96" t="s">
        <v>594</v>
      </c>
      <c r="M96">
        <v>2</v>
      </c>
    </row>
    <row r="97" spans="1:13" x14ac:dyDescent="0.25">
      <c r="A97" t="s">
        <v>590</v>
      </c>
      <c r="B97" t="s">
        <v>591</v>
      </c>
      <c r="C97" t="s">
        <v>592</v>
      </c>
      <c r="D97" t="s">
        <v>20</v>
      </c>
      <c r="E97" t="s">
        <v>53</v>
      </c>
      <c r="F97" t="s">
        <v>54</v>
      </c>
      <c r="G97" t="s">
        <v>54</v>
      </c>
      <c r="H97" t="s">
        <v>239</v>
      </c>
      <c r="I97" t="s">
        <v>124</v>
      </c>
      <c r="M97">
        <v>3</v>
      </c>
    </row>
    <row r="98" spans="1:13" x14ac:dyDescent="0.25">
      <c r="A98" t="s">
        <v>590</v>
      </c>
      <c r="B98" t="s">
        <v>591</v>
      </c>
      <c r="C98" t="s">
        <v>592</v>
      </c>
      <c r="D98" t="s">
        <v>20</v>
      </c>
      <c r="E98" t="s">
        <v>53</v>
      </c>
      <c r="F98" t="s">
        <v>54</v>
      </c>
      <c r="G98" t="s">
        <v>54</v>
      </c>
      <c r="H98" t="s">
        <v>599</v>
      </c>
      <c r="I98" t="s">
        <v>600</v>
      </c>
      <c r="M98">
        <v>4</v>
      </c>
    </row>
    <row r="99" spans="1:13" x14ac:dyDescent="0.25">
      <c r="A99" t="s">
        <v>590</v>
      </c>
      <c r="B99" t="s">
        <v>591</v>
      </c>
      <c r="C99" t="s">
        <v>592</v>
      </c>
      <c r="D99" t="s">
        <v>20</v>
      </c>
      <c r="E99" t="s">
        <v>53</v>
      </c>
      <c r="F99" t="s">
        <v>54</v>
      </c>
      <c r="G99" t="s">
        <v>54</v>
      </c>
      <c r="H99" t="s">
        <v>601</v>
      </c>
      <c r="I99" t="s">
        <v>602</v>
      </c>
      <c r="M99">
        <v>5</v>
      </c>
    </row>
    <row r="100" spans="1:13" x14ac:dyDescent="0.25">
      <c r="A100" t="s">
        <v>590</v>
      </c>
      <c r="B100" t="s">
        <v>591</v>
      </c>
      <c r="C100" t="s">
        <v>592</v>
      </c>
      <c r="D100" t="s">
        <v>20</v>
      </c>
      <c r="E100" t="s">
        <v>53</v>
      </c>
      <c r="F100" t="s">
        <v>54</v>
      </c>
      <c r="G100" t="s">
        <v>54</v>
      </c>
      <c r="H100" t="s">
        <v>603</v>
      </c>
      <c r="I100" t="s">
        <v>108</v>
      </c>
      <c r="M100">
        <v>6</v>
      </c>
    </row>
    <row r="101" spans="1:13" x14ac:dyDescent="0.25">
      <c r="A101" t="s">
        <v>590</v>
      </c>
      <c r="B101" t="s">
        <v>591</v>
      </c>
      <c r="C101" t="s">
        <v>592</v>
      </c>
      <c r="D101" t="s">
        <v>20</v>
      </c>
      <c r="E101" t="s">
        <v>53</v>
      </c>
      <c r="F101" t="s">
        <v>54</v>
      </c>
      <c r="G101" t="s">
        <v>54</v>
      </c>
      <c r="H101" t="s">
        <v>219</v>
      </c>
      <c r="I101" t="s">
        <v>221</v>
      </c>
      <c r="M101">
        <v>7</v>
      </c>
    </row>
    <row r="102" spans="1:13" x14ac:dyDescent="0.25">
      <c r="A102" t="s">
        <v>590</v>
      </c>
      <c r="B102" t="s">
        <v>591</v>
      </c>
      <c r="C102" t="s">
        <v>592</v>
      </c>
      <c r="D102" t="s">
        <v>20</v>
      </c>
      <c r="E102" t="s">
        <v>53</v>
      </c>
      <c r="F102" t="s">
        <v>54</v>
      </c>
      <c r="G102" t="s">
        <v>54</v>
      </c>
      <c r="H102" t="s">
        <v>219</v>
      </c>
      <c r="I102" t="s">
        <v>220</v>
      </c>
      <c r="M102">
        <v>7</v>
      </c>
    </row>
    <row r="103" spans="1:13" x14ac:dyDescent="0.25">
      <c r="A103" t="s">
        <v>590</v>
      </c>
      <c r="B103" t="s">
        <v>591</v>
      </c>
      <c r="C103" t="s">
        <v>592</v>
      </c>
      <c r="D103" t="s">
        <v>20</v>
      </c>
      <c r="E103" t="s">
        <v>53</v>
      </c>
      <c r="F103" t="s">
        <v>54</v>
      </c>
      <c r="G103" t="s">
        <v>54</v>
      </c>
      <c r="H103" t="s">
        <v>34</v>
      </c>
      <c r="I103" t="s">
        <v>35</v>
      </c>
      <c r="M103">
        <v>9</v>
      </c>
    </row>
    <row r="104" spans="1:13" x14ac:dyDescent="0.25">
      <c r="A104" t="s">
        <v>590</v>
      </c>
      <c r="B104" t="s">
        <v>591</v>
      </c>
      <c r="C104" t="s">
        <v>592</v>
      </c>
      <c r="D104" t="s">
        <v>20</v>
      </c>
      <c r="E104" t="s">
        <v>53</v>
      </c>
      <c r="F104" t="s">
        <v>54</v>
      </c>
      <c r="G104" t="s">
        <v>54</v>
      </c>
      <c r="H104" t="s">
        <v>604</v>
      </c>
      <c r="I104" t="s">
        <v>605</v>
      </c>
      <c r="M104">
        <v>10</v>
      </c>
    </row>
    <row r="105" spans="1:13" x14ac:dyDescent="0.25">
      <c r="A105" t="s">
        <v>902</v>
      </c>
      <c r="B105" t="s">
        <v>903</v>
      </c>
      <c r="C105" t="s">
        <v>904</v>
      </c>
      <c r="D105" t="s">
        <v>20</v>
      </c>
      <c r="E105" t="s">
        <v>53</v>
      </c>
      <c r="F105" t="s">
        <v>54</v>
      </c>
      <c r="G105" t="s">
        <v>54</v>
      </c>
      <c r="H105" t="s">
        <v>219</v>
      </c>
      <c r="I105" t="s">
        <v>221</v>
      </c>
      <c r="M105">
        <v>1</v>
      </c>
    </row>
    <row r="106" spans="1:13" x14ac:dyDescent="0.25">
      <c r="A106" t="s">
        <v>902</v>
      </c>
      <c r="B106" t="s">
        <v>903</v>
      </c>
      <c r="C106" t="s">
        <v>904</v>
      </c>
      <c r="D106" t="s">
        <v>20</v>
      </c>
      <c r="E106" t="s">
        <v>53</v>
      </c>
      <c r="F106" t="s">
        <v>54</v>
      </c>
      <c r="G106" t="s">
        <v>54</v>
      </c>
      <c r="H106" t="s">
        <v>219</v>
      </c>
      <c r="I106" t="s">
        <v>220</v>
      </c>
      <c r="M106">
        <v>1</v>
      </c>
    </row>
    <row r="107" spans="1:13" x14ac:dyDescent="0.25">
      <c r="A107" t="s">
        <v>902</v>
      </c>
      <c r="B107" t="s">
        <v>903</v>
      </c>
      <c r="C107" t="s">
        <v>904</v>
      </c>
      <c r="D107" t="s">
        <v>20</v>
      </c>
      <c r="E107" t="s">
        <v>53</v>
      </c>
      <c r="F107" t="s">
        <v>54</v>
      </c>
      <c r="G107" t="s">
        <v>54</v>
      </c>
      <c r="H107" t="s">
        <v>477</v>
      </c>
      <c r="I107" t="s">
        <v>478</v>
      </c>
      <c r="M107">
        <v>2</v>
      </c>
    </row>
    <row r="108" spans="1:13" x14ac:dyDescent="0.25">
      <c r="A108" t="s">
        <v>798</v>
      </c>
      <c r="B108" t="s">
        <v>799</v>
      </c>
      <c r="C108" t="s">
        <v>800</v>
      </c>
      <c r="D108" t="s">
        <v>20</v>
      </c>
      <c r="E108" t="s">
        <v>53</v>
      </c>
      <c r="F108" t="s">
        <v>54</v>
      </c>
      <c r="G108" t="s">
        <v>54</v>
      </c>
      <c r="H108" t="s">
        <v>577</v>
      </c>
      <c r="I108" t="s">
        <v>578</v>
      </c>
      <c r="M108">
        <v>1</v>
      </c>
    </row>
    <row r="109" spans="1:13" x14ac:dyDescent="0.25">
      <c r="A109" t="s">
        <v>798</v>
      </c>
      <c r="B109" t="s">
        <v>799</v>
      </c>
      <c r="C109" t="s">
        <v>800</v>
      </c>
      <c r="D109" t="s">
        <v>20</v>
      </c>
      <c r="E109" t="s">
        <v>53</v>
      </c>
      <c r="F109" t="s">
        <v>54</v>
      </c>
      <c r="G109" t="s">
        <v>54</v>
      </c>
      <c r="H109" t="s">
        <v>51</v>
      </c>
      <c r="I109" t="s">
        <v>52</v>
      </c>
      <c r="M109">
        <v>2</v>
      </c>
    </row>
    <row r="110" spans="1:13" x14ac:dyDescent="0.25">
      <c r="A110" t="s">
        <v>798</v>
      </c>
      <c r="B110" t="s">
        <v>799</v>
      </c>
      <c r="C110" t="s">
        <v>800</v>
      </c>
      <c r="D110" t="s">
        <v>20</v>
      </c>
      <c r="E110" t="s">
        <v>53</v>
      </c>
      <c r="F110" t="s">
        <v>54</v>
      </c>
      <c r="G110" t="s">
        <v>54</v>
      </c>
      <c r="H110" t="s">
        <v>421</v>
      </c>
      <c r="I110" t="s">
        <v>422</v>
      </c>
      <c r="M110">
        <v>3</v>
      </c>
    </row>
    <row r="111" spans="1:13" x14ac:dyDescent="0.25">
      <c r="A111" t="s">
        <v>798</v>
      </c>
      <c r="B111" t="s">
        <v>799</v>
      </c>
      <c r="C111" t="s">
        <v>800</v>
      </c>
      <c r="D111" t="s">
        <v>20</v>
      </c>
      <c r="E111" t="s">
        <v>53</v>
      </c>
      <c r="F111" t="s">
        <v>54</v>
      </c>
      <c r="G111" t="s">
        <v>54</v>
      </c>
      <c r="H111" t="s">
        <v>445</v>
      </c>
      <c r="I111" t="s">
        <v>446</v>
      </c>
      <c r="M111">
        <v>4</v>
      </c>
    </row>
    <row r="112" spans="1:13" x14ac:dyDescent="0.25">
      <c r="A112" t="s">
        <v>798</v>
      </c>
      <c r="B112" t="s">
        <v>799</v>
      </c>
      <c r="C112" t="s">
        <v>800</v>
      </c>
      <c r="D112" t="s">
        <v>20</v>
      </c>
      <c r="E112" t="s">
        <v>53</v>
      </c>
      <c r="F112" t="s">
        <v>54</v>
      </c>
      <c r="G112" t="s">
        <v>54</v>
      </c>
      <c r="H112" t="s">
        <v>801</v>
      </c>
      <c r="I112" t="s">
        <v>802</v>
      </c>
      <c r="M112">
        <v>5</v>
      </c>
    </row>
    <row r="113" spans="1:13" x14ac:dyDescent="0.25">
      <c r="A113" t="s">
        <v>798</v>
      </c>
      <c r="B113" t="s">
        <v>799</v>
      </c>
      <c r="C113" t="s">
        <v>800</v>
      </c>
      <c r="D113" t="s">
        <v>20</v>
      </c>
      <c r="E113" t="s">
        <v>53</v>
      </c>
      <c r="F113" t="s">
        <v>54</v>
      </c>
      <c r="G113" t="s">
        <v>54</v>
      </c>
      <c r="H113" t="s">
        <v>255</v>
      </c>
      <c r="I113" t="s">
        <v>256</v>
      </c>
      <c r="M113">
        <v>6</v>
      </c>
    </row>
    <row r="114" spans="1:13" x14ac:dyDescent="0.25">
      <c r="A114" t="s">
        <v>798</v>
      </c>
      <c r="B114" t="s">
        <v>799</v>
      </c>
      <c r="C114" t="s">
        <v>800</v>
      </c>
      <c r="D114" t="s">
        <v>20</v>
      </c>
      <c r="E114" t="s">
        <v>53</v>
      </c>
      <c r="F114" t="s">
        <v>54</v>
      </c>
      <c r="G114" t="s">
        <v>54</v>
      </c>
      <c r="H114" t="s">
        <v>411</v>
      </c>
      <c r="I114" t="s">
        <v>50</v>
      </c>
      <c r="M114">
        <v>7</v>
      </c>
    </row>
    <row r="115" spans="1:13" x14ac:dyDescent="0.25">
      <c r="A115" t="s">
        <v>821</v>
      </c>
      <c r="B115" t="s">
        <v>822</v>
      </c>
      <c r="C115" t="s">
        <v>823</v>
      </c>
      <c r="D115" t="s">
        <v>20</v>
      </c>
      <c r="E115" t="s">
        <v>53</v>
      </c>
      <c r="F115" t="s">
        <v>54</v>
      </c>
      <c r="G115" t="s">
        <v>54</v>
      </c>
      <c r="H115" t="s">
        <v>180</v>
      </c>
      <c r="I115" t="s">
        <v>181</v>
      </c>
      <c r="M115">
        <v>1</v>
      </c>
    </row>
    <row r="116" spans="1:13" x14ac:dyDescent="0.25">
      <c r="A116" t="s">
        <v>821</v>
      </c>
      <c r="B116" t="s">
        <v>822</v>
      </c>
      <c r="C116" t="s">
        <v>823</v>
      </c>
      <c r="D116" t="s">
        <v>20</v>
      </c>
      <c r="E116" t="s">
        <v>53</v>
      </c>
      <c r="F116" t="s">
        <v>54</v>
      </c>
      <c r="G116" t="s">
        <v>54</v>
      </c>
      <c r="H116" t="s">
        <v>844</v>
      </c>
      <c r="I116" t="s">
        <v>845</v>
      </c>
      <c r="M116">
        <v>2</v>
      </c>
    </row>
    <row r="117" spans="1:13" x14ac:dyDescent="0.25">
      <c r="A117" t="s">
        <v>821</v>
      </c>
      <c r="B117" t="s">
        <v>822</v>
      </c>
      <c r="C117" t="s">
        <v>823</v>
      </c>
      <c r="D117" t="s">
        <v>20</v>
      </c>
      <c r="E117" t="s">
        <v>53</v>
      </c>
      <c r="F117" t="s">
        <v>54</v>
      </c>
      <c r="G117" t="s">
        <v>54</v>
      </c>
      <c r="H117" t="s">
        <v>781</v>
      </c>
      <c r="I117" t="s">
        <v>782</v>
      </c>
      <c r="M117">
        <v>3</v>
      </c>
    </row>
    <row r="118" spans="1:13" x14ac:dyDescent="0.25">
      <c r="A118" t="s">
        <v>821</v>
      </c>
      <c r="B118" t="s">
        <v>822</v>
      </c>
      <c r="C118" t="s">
        <v>823</v>
      </c>
      <c r="D118" t="s">
        <v>20</v>
      </c>
      <c r="E118" t="s">
        <v>53</v>
      </c>
      <c r="F118" t="s">
        <v>54</v>
      </c>
      <c r="G118" t="s">
        <v>54</v>
      </c>
      <c r="H118" t="s">
        <v>277</v>
      </c>
      <c r="I118" t="s">
        <v>278</v>
      </c>
      <c r="M118">
        <v>4</v>
      </c>
    </row>
    <row r="119" spans="1:13" x14ac:dyDescent="0.25">
      <c r="A119" t="s">
        <v>821</v>
      </c>
      <c r="B119" t="s">
        <v>822</v>
      </c>
      <c r="C119" t="s">
        <v>823</v>
      </c>
      <c r="D119" t="s">
        <v>20</v>
      </c>
      <c r="E119" t="s">
        <v>53</v>
      </c>
      <c r="F119" t="s">
        <v>54</v>
      </c>
      <c r="G119" t="s">
        <v>54</v>
      </c>
      <c r="H119" t="s">
        <v>255</v>
      </c>
      <c r="I119" t="s">
        <v>256</v>
      </c>
      <c r="M119">
        <v>5</v>
      </c>
    </row>
    <row r="120" spans="1:13" x14ac:dyDescent="0.25">
      <c r="A120" t="s">
        <v>821</v>
      </c>
      <c r="B120" t="s">
        <v>822</v>
      </c>
      <c r="C120" t="s">
        <v>823</v>
      </c>
      <c r="D120" t="s">
        <v>20</v>
      </c>
      <c r="E120" t="s">
        <v>53</v>
      </c>
      <c r="F120" t="s">
        <v>54</v>
      </c>
      <c r="G120" t="s">
        <v>54</v>
      </c>
      <c r="H120" t="s">
        <v>795</v>
      </c>
      <c r="I120" t="s">
        <v>342</v>
      </c>
      <c r="M120">
        <v>6</v>
      </c>
    </row>
    <row r="121" spans="1:13" x14ac:dyDescent="0.25">
      <c r="A121" t="s">
        <v>821</v>
      </c>
      <c r="B121" t="s">
        <v>822</v>
      </c>
      <c r="C121" t="s">
        <v>823</v>
      </c>
      <c r="D121" t="s">
        <v>20</v>
      </c>
      <c r="E121" t="s">
        <v>53</v>
      </c>
      <c r="F121" t="s">
        <v>54</v>
      </c>
      <c r="G121" t="s">
        <v>54</v>
      </c>
      <c r="H121" t="s">
        <v>848</v>
      </c>
      <c r="I121" t="s">
        <v>849</v>
      </c>
      <c r="M121">
        <v>7</v>
      </c>
    </row>
    <row r="122" spans="1:13" x14ac:dyDescent="0.25">
      <c r="A122" t="s">
        <v>821</v>
      </c>
      <c r="B122" t="s">
        <v>822</v>
      </c>
      <c r="C122" t="s">
        <v>823</v>
      </c>
      <c r="D122" t="s">
        <v>20</v>
      </c>
      <c r="E122" t="s">
        <v>53</v>
      </c>
      <c r="F122" t="s">
        <v>54</v>
      </c>
      <c r="G122" t="s">
        <v>54</v>
      </c>
      <c r="H122" t="s">
        <v>850</v>
      </c>
      <c r="I122" t="s">
        <v>847</v>
      </c>
      <c r="M122">
        <v>8</v>
      </c>
    </row>
    <row r="123" spans="1:13" x14ac:dyDescent="0.25">
      <c r="A123" t="s">
        <v>821</v>
      </c>
      <c r="B123" t="s">
        <v>822</v>
      </c>
      <c r="C123" t="s">
        <v>823</v>
      </c>
      <c r="D123" t="s">
        <v>20</v>
      </c>
      <c r="E123" t="s">
        <v>53</v>
      </c>
      <c r="F123" t="s">
        <v>54</v>
      </c>
      <c r="G123" t="s">
        <v>54</v>
      </c>
      <c r="H123" t="s">
        <v>195</v>
      </c>
      <c r="I123" t="s">
        <v>196</v>
      </c>
      <c r="M123">
        <v>9</v>
      </c>
    </row>
    <row r="124" spans="1:13" x14ac:dyDescent="0.25">
      <c r="A124" t="s">
        <v>821</v>
      </c>
      <c r="B124" t="s">
        <v>822</v>
      </c>
      <c r="C124" t="s">
        <v>823</v>
      </c>
      <c r="D124" t="s">
        <v>20</v>
      </c>
      <c r="E124" t="s">
        <v>53</v>
      </c>
      <c r="F124" t="s">
        <v>54</v>
      </c>
      <c r="G124" t="s">
        <v>54</v>
      </c>
      <c r="H124" t="s">
        <v>34</v>
      </c>
      <c r="I124" t="s">
        <v>35</v>
      </c>
      <c r="M124">
        <v>10</v>
      </c>
    </row>
    <row r="125" spans="1:13" x14ac:dyDescent="0.25">
      <c r="A125" t="s">
        <v>384</v>
      </c>
      <c r="B125" t="s">
        <v>385</v>
      </c>
      <c r="C125" t="s">
        <v>386</v>
      </c>
      <c r="D125" t="s">
        <v>20</v>
      </c>
      <c r="E125" t="s">
        <v>53</v>
      </c>
      <c r="F125" t="s">
        <v>54</v>
      </c>
      <c r="G125" t="s">
        <v>54</v>
      </c>
      <c r="H125" t="s">
        <v>402</v>
      </c>
      <c r="I125" t="s">
        <v>403</v>
      </c>
      <c r="M125">
        <v>1</v>
      </c>
    </row>
    <row r="126" spans="1:13" x14ac:dyDescent="0.25">
      <c r="A126" t="s">
        <v>384</v>
      </c>
      <c r="B126" t="s">
        <v>385</v>
      </c>
      <c r="C126" t="s">
        <v>386</v>
      </c>
      <c r="D126" t="s">
        <v>20</v>
      </c>
      <c r="E126" t="s">
        <v>53</v>
      </c>
      <c r="F126" t="s">
        <v>54</v>
      </c>
      <c r="G126" t="s">
        <v>54</v>
      </c>
      <c r="H126" t="s">
        <v>406</v>
      </c>
      <c r="I126" t="s">
        <v>56</v>
      </c>
      <c r="M126">
        <v>2</v>
      </c>
    </row>
    <row r="127" spans="1:13" x14ac:dyDescent="0.25">
      <c r="A127" t="s">
        <v>384</v>
      </c>
      <c r="B127" t="s">
        <v>385</v>
      </c>
      <c r="C127" t="s">
        <v>386</v>
      </c>
      <c r="D127" t="s">
        <v>20</v>
      </c>
      <c r="E127" t="s">
        <v>53</v>
      </c>
      <c r="F127" t="s">
        <v>54</v>
      </c>
      <c r="G127" t="s">
        <v>54</v>
      </c>
      <c r="H127" t="s">
        <v>89</v>
      </c>
      <c r="I127" t="s">
        <v>90</v>
      </c>
      <c r="M127">
        <v>3</v>
      </c>
    </row>
    <row r="128" spans="1:13" x14ac:dyDescent="0.25">
      <c r="A128" t="s">
        <v>384</v>
      </c>
      <c r="B128" t="s">
        <v>385</v>
      </c>
      <c r="C128" t="s">
        <v>386</v>
      </c>
      <c r="D128" t="s">
        <v>20</v>
      </c>
      <c r="E128" t="s">
        <v>53</v>
      </c>
      <c r="F128" t="s">
        <v>54</v>
      </c>
      <c r="G128" t="s">
        <v>54</v>
      </c>
      <c r="H128" t="s">
        <v>407</v>
      </c>
      <c r="I128" t="s">
        <v>408</v>
      </c>
      <c r="M128">
        <v>4</v>
      </c>
    </row>
    <row r="129" spans="1:13" x14ac:dyDescent="0.25">
      <c r="A129" t="s">
        <v>384</v>
      </c>
      <c r="B129" t="s">
        <v>385</v>
      </c>
      <c r="C129" t="s">
        <v>386</v>
      </c>
      <c r="D129" t="s">
        <v>20</v>
      </c>
      <c r="E129" t="s">
        <v>53</v>
      </c>
      <c r="F129" t="s">
        <v>54</v>
      </c>
      <c r="G129" t="s">
        <v>54</v>
      </c>
      <c r="H129" t="s">
        <v>409</v>
      </c>
      <c r="I129" t="s">
        <v>410</v>
      </c>
      <c r="M129">
        <v>6</v>
      </c>
    </row>
    <row r="130" spans="1:13" x14ac:dyDescent="0.25">
      <c r="A130" t="s">
        <v>384</v>
      </c>
      <c r="B130" t="s">
        <v>385</v>
      </c>
      <c r="C130" t="s">
        <v>386</v>
      </c>
      <c r="D130" t="s">
        <v>20</v>
      </c>
      <c r="E130" t="s">
        <v>53</v>
      </c>
      <c r="F130" t="s">
        <v>54</v>
      </c>
      <c r="G130" t="s">
        <v>54</v>
      </c>
      <c r="H130" t="s">
        <v>411</v>
      </c>
      <c r="I130" t="s">
        <v>50</v>
      </c>
      <c r="M130">
        <v>7</v>
      </c>
    </row>
    <row r="131" spans="1:13" x14ac:dyDescent="0.25">
      <c r="A131" t="s">
        <v>384</v>
      </c>
      <c r="B131" t="s">
        <v>385</v>
      </c>
      <c r="C131" t="s">
        <v>386</v>
      </c>
      <c r="D131" t="s">
        <v>20</v>
      </c>
      <c r="E131" t="s">
        <v>53</v>
      </c>
      <c r="F131" t="s">
        <v>54</v>
      </c>
      <c r="G131" t="s">
        <v>54</v>
      </c>
      <c r="H131" t="s">
        <v>140</v>
      </c>
      <c r="I131" t="s">
        <v>141</v>
      </c>
      <c r="M131">
        <v>8</v>
      </c>
    </row>
    <row r="132" spans="1:13" x14ac:dyDescent="0.25">
      <c r="A132" t="s">
        <v>384</v>
      </c>
      <c r="B132" t="s">
        <v>385</v>
      </c>
      <c r="C132" t="s">
        <v>386</v>
      </c>
      <c r="D132" t="s">
        <v>20</v>
      </c>
      <c r="E132" t="s">
        <v>53</v>
      </c>
      <c r="F132" t="s">
        <v>54</v>
      </c>
      <c r="G132" t="s">
        <v>54</v>
      </c>
      <c r="H132" t="s">
        <v>412</v>
      </c>
      <c r="I132" t="s">
        <v>413</v>
      </c>
      <c r="M132">
        <v>9</v>
      </c>
    </row>
    <row r="133" spans="1:13" x14ac:dyDescent="0.25">
      <c r="A133" t="s">
        <v>384</v>
      </c>
      <c r="B133" t="s">
        <v>385</v>
      </c>
      <c r="C133" t="s">
        <v>386</v>
      </c>
      <c r="D133" t="s">
        <v>20</v>
      </c>
      <c r="E133" t="s">
        <v>53</v>
      </c>
      <c r="F133" t="s">
        <v>54</v>
      </c>
      <c r="G133" t="s">
        <v>54</v>
      </c>
      <c r="H133" t="s">
        <v>414</v>
      </c>
      <c r="I133" t="s">
        <v>415</v>
      </c>
      <c r="M133">
        <v>10</v>
      </c>
    </row>
    <row r="134" spans="1:13" x14ac:dyDescent="0.25">
      <c r="A134" t="s">
        <v>695</v>
      </c>
      <c r="B134" t="s">
        <v>696</v>
      </c>
      <c r="C134" t="s">
        <v>697</v>
      </c>
      <c r="D134" t="s">
        <v>20</v>
      </c>
      <c r="E134" t="s">
        <v>53</v>
      </c>
      <c r="F134" t="s">
        <v>54</v>
      </c>
      <c r="G134" t="s">
        <v>54</v>
      </c>
      <c r="H134" t="s">
        <v>719</v>
      </c>
      <c r="I134" t="s">
        <v>24</v>
      </c>
      <c r="M134">
        <v>1</v>
      </c>
    </row>
    <row r="135" spans="1:13" x14ac:dyDescent="0.25">
      <c r="A135" t="s">
        <v>695</v>
      </c>
      <c r="B135" t="s">
        <v>696</v>
      </c>
      <c r="C135" t="s">
        <v>697</v>
      </c>
      <c r="D135" t="s">
        <v>20</v>
      </c>
      <c r="E135" t="s">
        <v>53</v>
      </c>
      <c r="F135" t="s">
        <v>54</v>
      </c>
      <c r="G135" t="s">
        <v>54</v>
      </c>
      <c r="H135" t="s">
        <v>717</v>
      </c>
      <c r="I135" t="s">
        <v>718</v>
      </c>
      <c r="M135">
        <v>2</v>
      </c>
    </row>
    <row r="136" spans="1:13" x14ac:dyDescent="0.25">
      <c r="A136" t="s">
        <v>695</v>
      </c>
      <c r="B136" t="s">
        <v>696</v>
      </c>
      <c r="C136" t="s">
        <v>697</v>
      </c>
      <c r="D136" t="s">
        <v>20</v>
      </c>
      <c r="E136" t="s">
        <v>53</v>
      </c>
      <c r="F136" t="s">
        <v>54</v>
      </c>
      <c r="G136" t="s">
        <v>54</v>
      </c>
      <c r="H136" t="s">
        <v>42</v>
      </c>
      <c r="I136" t="s">
        <v>43</v>
      </c>
      <c r="M136">
        <v>3</v>
      </c>
    </row>
    <row r="137" spans="1:13" x14ac:dyDescent="0.25">
      <c r="A137" t="s">
        <v>695</v>
      </c>
      <c r="B137" t="s">
        <v>696</v>
      </c>
      <c r="C137" t="s">
        <v>697</v>
      </c>
      <c r="D137" t="s">
        <v>20</v>
      </c>
      <c r="E137" t="s">
        <v>53</v>
      </c>
      <c r="F137" t="s">
        <v>54</v>
      </c>
      <c r="G137" t="s">
        <v>54</v>
      </c>
      <c r="H137" t="s">
        <v>57</v>
      </c>
      <c r="I137" t="s">
        <v>58</v>
      </c>
      <c r="M137">
        <v>4</v>
      </c>
    </row>
    <row r="138" spans="1:13" x14ac:dyDescent="0.25">
      <c r="A138" t="s">
        <v>695</v>
      </c>
      <c r="B138" t="s">
        <v>696</v>
      </c>
      <c r="C138" t="s">
        <v>697</v>
      </c>
      <c r="D138" t="s">
        <v>20</v>
      </c>
      <c r="E138" t="s">
        <v>53</v>
      </c>
      <c r="F138" t="s">
        <v>54</v>
      </c>
      <c r="G138" t="s">
        <v>54</v>
      </c>
      <c r="H138" t="s">
        <v>720</v>
      </c>
      <c r="I138" t="s">
        <v>721</v>
      </c>
      <c r="M138">
        <v>5</v>
      </c>
    </row>
    <row r="139" spans="1:13" x14ac:dyDescent="0.25">
      <c r="A139" t="s">
        <v>695</v>
      </c>
      <c r="B139" t="s">
        <v>696</v>
      </c>
      <c r="C139" t="s">
        <v>697</v>
      </c>
      <c r="D139" t="s">
        <v>20</v>
      </c>
      <c r="E139" t="s">
        <v>53</v>
      </c>
      <c r="F139" t="s">
        <v>54</v>
      </c>
      <c r="G139" t="s">
        <v>54</v>
      </c>
      <c r="H139" t="s">
        <v>206</v>
      </c>
      <c r="I139" t="s">
        <v>60</v>
      </c>
      <c r="M139">
        <v>6</v>
      </c>
    </row>
    <row r="140" spans="1:13" x14ac:dyDescent="0.25">
      <c r="A140" t="s">
        <v>695</v>
      </c>
      <c r="B140" t="s">
        <v>696</v>
      </c>
      <c r="C140" t="s">
        <v>697</v>
      </c>
      <c r="D140" t="s">
        <v>20</v>
      </c>
      <c r="E140" t="s">
        <v>53</v>
      </c>
      <c r="F140" t="s">
        <v>54</v>
      </c>
      <c r="G140" t="s">
        <v>54</v>
      </c>
      <c r="H140" t="s">
        <v>61</v>
      </c>
      <c r="I140" t="s">
        <v>62</v>
      </c>
      <c r="M140">
        <v>7</v>
      </c>
    </row>
    <row r="141" spans="1:13" x14ac:dyDescent="0.25">
      <c r="A141" t="s">
        <v>695</v>
      </c>
      <c r="B141" t="s">
        <v>696</v>
      </c>
      <c r="C141" t="s">
        <v>697</v>
      </c>
      <c r="D141" t="s">
        <v>20</v>
      </c>
      <c r="E141" t="s">
        <v>53</v>
      </c>
      <c r="F141" t="s">
        <v>54</v>
      </c>
      <c r="G141" t="s">
        <v>54</v>
      </c>
      <c r="H141" t="s">
        <v>89</v>
      </c>
      <c r="I141" t="s">
        <v>90</v>
      </c>
      <c r="M141">
        <v>8</v>
      </c>
    </row>
    <row r="142" spans="1:13" x14ac:dyDescent="0.25">
      <c r="A142" t="s">
        <v>695</v>
      </c>
      <c r="B142" t="s">
        <v>696</v>
      </c>
      <c r="C142" t="s">
        <v>697</v>
      </c>
      <c r="D142" t="s">
        <v>20</v>
      </c>
      <c r="E142" t="s">
        <v>53</v>
      </c>
      <c r="F142" t="s">
        <v>54</v>
      </c>
      <c r="G142" t="s">
        <v>54</v>
      </c>
      <c r="H142" t="s">
        <v>407</v>
      </c>
      <c r="I142" t="s">
        <v>408</v>
      </c>
      <c r="M142">
        <v>9</v>
      </c>
    </row>
    <row r="143" spans="1:13" x14ac:dyDescent="0.25">
      <c r="A143" t="s">
        <v>695</v>
      </c>
      <c r="B143" t="s">
        <v>696</v>
      </c>
      <c r="C143" t="s">
        <v>697</v>
      </c>
      <c r="D143" t="s">
        <v>20</v>
      </c>
      <c r="E143" t="s">
        <v>53</v>
      </c>
      <c r="F143" t="s">
        <v>54</v>
      </c>
      <c r="G143" t="s">
        <v>54</v>
      </c>
      <c r="H143" t="s">
        <v>526</v>
      </c>
      <c r="I143" t="s">
        <v>527</v>
      </c>
      <c r="M143">
        <v>10</v>
      </c>
    </row>
    <row r="144" spans="1:13" x14ac:dyDescent="0.25">
      <c r="A144" t="s">
        <v>851</v>
      </c>
      <c r="B144" t="s">
        <v>852</v>
      </c>
      <c r="C144" t="s">
        <v>853</v>
      </c>
      <c r="D144" t="s">
        <v>20</v>
      </c>
      <c r="E144" t="s">
        <v>53</v>
      </c>
      <c r="F144" t="s">
        <v>54</v>
      </c>
      <c r="G144" t="s">
        <v>54</v>
      </c>
      <c r="H144" t="s">
        <v>563</v>
      </c>
      <c r="I144" t="s">
        <v>564</v>
      </c>
      <c r="M144">
        <v>1</v>
      </c>
    </row>
    <row r="145" spans="1:13" x14ac:dyDescent="0.25">
      <c r="A145" t="s">
        <v>851</v>
      </c>
      <c r="B145" t="s">
        <v>852</v>
      </c>
      <c r="C145" t="s">
        <v>853</v>
      </c>
      <c r="D145" t="s">
        <v>20</v>
      </c>
      <c r="E145" t="s">
        <v>53</v>
      </c>
      <c r="F145" t="s">
        <v>54</v>
      </c>
      <c r="G145" t="s">
        <v>54</v>
      </c>
      <c r="H145" t="s">
        <v>815</v>
      </c>
      <c r="I145" t="s">
        <v>816</v>
      </c>
      <c r="M145">
        <v>2</v>
      </c>
    </row>
    <row r="146" spans="1:13" x14ac:dyDescent="0.25">
      <c r="A146" t="s">
        <v>851</v>
      </c>
      <c r="B146" t="s">
        <v>852</v>
      </c>
      <c r="C146" t="s">
        <v>853</v>
      </c>
      <c r="D146" t="s">
        <v>20</v>
      </c>
      <c r="E146" t="s">
        <v>53</v>
      </c>
      <c r="F146" t="s">
        <v>54</v>
      </c>
      <c r="G146" t="s">
        <v>54</v>
      </c>
      <c r="H146" t="s">
        <v>561</v>
      </c>
      <c r="I146" t="s">
        <v>562</v>
      </c>
      <c r="M146">
        <v>3</v>
      </c>
    </row>
    <row r="147" spans="1:13" x14ac:dyDescent="0.25">
      <c r="A147" t="s">
        <v>851</v>
      </c>
      <c r="B147" t="s">
        <v>852</v>
      </c>
      <c r="C147" t="s">
        <v>853</v>
      </c>
      <c r="D147" t="s">
        <v>20</v>
      </c>
      <c r="E147" t="s">
        <v>53</v>
      </c>
      <c r="F147" t="s">
        <v>54</v>
      </c>
      <c r="G147" t="s">
        <v>54</v>
      </c>
      <c r="H147" t="s">
        <v>565</v>
      </c>
      <c r="I147" t="s">
        <v>566</v>
      </c>
      <c r="M147">
        <v>4</v>
      </c>
    </row>
    <row r="148" spans="1:13" x14ac:dyDescent="0.25">
      <c r="A148" t="s">
        <v>851</v>
      </c>
      <c r="B148" t="s">
        <v>852</v>
      </c>
      <c r="C148" t="s">
        <v>853</v>
      </c>
      <c r="D148" t="s">
        <v>20</v>
      </c>
      <c r="E148" t="s">
        <v>53</v>
      </c>
      <c r="F148" t="s">
        <v>54</v>
      </c>
      <c r="G148" t="s">
        <v>54</v>
      </c>
      <c r="H148" t="s">
        <v>795</v>
      </c>
      <c r="I148" t="s">
        <v>342</v>
      </c>
      <c r="M148">
        <v>5</v>
      </c>
    </row>
    <row r="149" spans="1:13" x14ac:dyDescent="0.25">
      <c r="A149" t="s">
        <v>851</v>
      </c>
      <c r="B149" t="s">
        <v>852</v>
      </c>
      <c r="C149" t="s">
        <v>853</v>
      </c>
      <c r="D149" t="s">
        <v>20</v>
      </c>
      <c r="E149" t="s">
        <v>53</v>
      </c>
      <c r="F149" t="s">
        <v>54</v>
      </c>
      <c r="G149" t="s">
        <v>54</v>
      </c>
      <c r="H149" t="s">
        <v>255</v>
      </c>
      <c r="I149" t="s">
        <v>256</v>
      </c>
      <c r="M149">
        <v>6</v>
      </c>
    </row>
    <row r="150" spans="1:13" x14ac:dyDescent="0.25">
      <c r="A150" t="s">
        <v>851</v>
      </c>
      <c r="B150" t="s">
        <v>852</v>
      </c>
      <c r="C150" t="s">
        <v>853</v>
      </c>
      <c r="D150" t="s">
        <v>20</v>
      </c>
      <c r="E150" t="s">
        <v>53</v>
      </c>
      <c r="F150" t="s">
        <v>54</v>
      </c>
      <c r="G150" t="s">
        <v>54</v>
      </c>
      <c r="H150" t="s">
        <v>132</v>
      </c>
      <c r="I150" t="s">
        <v>133</v>
      </c>
      <c r="M150">
        <v>7</v>
      </c>
    </row>
    <row r="151" spans="1:13" x14ac:dyDescent="0.25">
      <c r="A151" t="s">
        <v>851</v>
      </c>
      <c r="B151" t="s">
        <v>852</v>
      </c>
      <c r="C151" t="s">
        <v>853</v>
      </c>
      <c r="D151" t="s">
        <v>20</v>
      </c>
      <c r="E151" t="s">
        <v>53</v>
      </c>
      <c r="F151" t="s">
        <v>54</v>
      </c>
      <c r="G151" t="s">
        <v>54</v>
      </c>
      <c r="H151" t="s">
        <v>260</v>
      </c>
      <c r="I151" t="s">
        <v>261</v>
      </c>
      <c r="M151">
        <v>8</v>
      </c>
    </row>
    <row r="152" spans="1:13" x14ac:dyDescent="0.25">
      <c r="A152" t="s">
        <v>851</v>
      </c>
      <c r="B152" t="s">
        <v>852</v>
      </c>
      <c r="C152" t="s">
        <v>853</v>
      </c>
      <c r="D152" t="s">
        <v>20</v>
      </c>
      <c r="E152" t="s">
        <v>53</v>
      </c>
      <c r="F152" t="s">
        <v>54</v>
      </c>
      <c r="G152" t="s">
        <v>54</v>
      </c>
      <c r="H152" t="s">
        <v>318</v>
      </c>
      <c r="I152" t="s">
        <v>319</v>
      </c>
      <c r="M152">
        <v>9</v>
      </c>
    </row>
    <row r="153" spans="1:13" x14ac:dyDescent="0.25">
      <c r="A153" t="s">
        <v>851</v>
      </c>
      <c r="B153" t="s">
        <v>852</v>
      </c>
      <c r="C153" t="s">
        <v>853</v>
      </c>
      <c r="D153" t="s">
        <v>20</v>
      </c>
      <c r="E153" t="s">
        <v>53</v>
      </c>
      <c r="F153" t="s">
        <v>54</v>
      </c>
      <c r="G153" t="s">
        <v>54</v>
      </c>
      <c r="H153" t="s">
        <v>204</v>
      </c>
      <c r="I153" t="s">
        <v>205</v>
      </c>
      <c r="M153">
        <v>10</v>
      </c>
    </row>
    <row r="154" spans="1:13" x14ac:dyDescent="0.25">
      <c r="A154" t="s">
        <v>862</v>
      </c>
      <c r="B154" t="s">
        <v>863</v>
      </c>
      <c r="C154" t="s">
        <v>864</v>
      </c>
      <c r="D154" t="s">
        <v>20</v>
      </c>
      <c r="E154" t="s">
        <v>53</v>
      </c>
      <c r="F154" t="s">
        <v>54</v>
      </c>
      <c r="G154" t="s">
        <v>54</v>
      </c>
      <c r="H154" t="s">
        <v>34</v>
      </c>
      <c r="I154" t="s">
        <v>35</v>
      </c>
      <c r="M154">
        <v>1</v>
      </c>
    </row>
    <row r="155" spans="1:13" x14ac:dyDescent="0.25">
      <c r="A155" t="s">
        <v>862</v>
      </c>
      <c r="B155" t="s">
        <v>863</v>
      </c>
      <c r="C155" t="s">
        <v>864</v>
      </c>
      <c r="D155" t="s">
        <v>20</v>
      </c>
      <c r="E155" t="s">
        <v>53</v>
      </c>
      <c r="F155" t="s">
        <v>54</v>
      </c>
      <c r="G155" t="s">
        <v>54</v>
      </c>
      <c r="H155" t="s">
        <v>550</v>
      </c>
      <c r="I155" t="s">
        <v>551</v>
      </c>
      <c r="M155">
        <v>2</v>
      </c>
    </row>
    <row r="156" spans="1:13" x14ac:dyDescent="0.25">
      <c r="A156" t="s">
        <v>862</v>
      </c>
      <c r="B156" t="s">
        <v>863</v>
      </c>
      <c r="C156" t="s">
        <v>864</v>
      </c>
      <c r="D156" t="s">
        <v>20</v>
      </c>
      <c r="E156" t="s">
        <v>53</v>
      </c>
      <c r="F156" t="s">
        <v>54</v>
      </c>
      <c r="G156" t="s">
        <v>54</v>
      </c>
      <c r="H156" t="s">
        <v>844</v>
      </c>
      <c r="I156" t="s">
        <v>845</v>
      </c>
      <c r="M156">
        <v>3</v>
      </c>
    </row>
    <row r="157" spans="1:13" x14ac:dyDescent="0.25">
      <c r="A157" t="s">
        <v>862</v>
      </c>
      <c r="B157" t="s">
        <v>863</v>
      </c>
      <c r="C157" t="s">
        <v>864</v>
      </c>
      <c r="D157" t="s">
        <v>20</v>
      </c>
      <c r="E157" t="s">
        <v>53</v>
      </c>
      <c r="F157" t="s">
        <v>54</v>
      </c>
      <c r="G157" t="s">
        <v>54</v>
      </c>
      <c r="H157" t="s">
        <v>871</v>
      </c>
      <c r="I157" t="s">
        <v>102</v>
      </c>
      <c r="M157">
        <v>4</v>
      </c>
    </row>
    <row r="158" spans="1:13" x14ac:dyDescent="0.25">
      <c r="A158" t="s">
        <v>862</v>
      </c>
      <c r="B158" t="s">
        <v>863</v>
      </c>
      <c r="C158" t="s">
        <v>864</v>
      </c>
      <c r="D158" t="s">
        <v>20</v>
      </c>
      <c r="E158" t="s">
        <v>53</v>
      </c>
      <c r="F158" t="s">
        <v>54</v>
      </c>
      <c r="G158" t="s">
        <v>54</v>
      </c>
      <c r="H158" t="s">
        <v>824</v>
      </c>
      <c r="I158" t="s">
        <v>825</v>
      </c>
      <c r="M158">
        <v>6</v>
      </c>
    </row>
    <row r="159" spans="1:13" x14ac:dyDescent="0.25">
      <c r="A159" t="s">
        <v>862</v>
      </c>
      <c r="B159" t="s">
        <v>863</v>
      </c>
      <c r="C159" t="s">
        <v>864</v>
      </c>
      <c r="D159" t="s">
        <v>20</v>
      </c>
      <c r="E159" t="s">
        <v>53</v>
      </c>
      <c r="F159" t="s">
        <v>54</v>
      </c>
      <c r="G159" t="s">
        <v>54</v>
      </c>
      <c r="H159" t="s">
        <v>42</v>
      </c>
      <c r="I159" t="s">
        <v>43</v>
      </c>
      <c r="M159">
        <v>7</v>
      </c>
    </row>
    <row r="160" spans="1:13" x14ac:dyDescent="0.25">
      <c r="A160" t="s">
        <v>862</v>
      </c>
      <c r="B160" t="s">
        <v>863</v>
      </c>
      <c r="C160" t="s">
        <v>864</v>
      </c>
      <c r="D160" t="s">
        <v>20</v>
      </c>
      <c r="E160" t="s">
        <v>53</v>
      </c>
      <c r="F160" t="s">
        <v>54</v>
      </c>
      <c r="G160" t="s">
        <v>54</v>
      </c>
      <c r="H160" t="s">
        <v>421</v>
      </c>
      <c r="I160" t="s">
        <v>422</v>
      </c>
      <c r="M160">
        <v>8</v>
      </c>
    </row>
    <row r="161" spans="1:13" x14ac:dyDescent="0.25">
      <c r="A161" t="s">
        <v>862</v>
      </c>
      <c r="B161" t="s">
        <v>863</v>
      </c>
      <c r="C161" t="s">
        <v>864</v>
      </c>
      <c r="D161" t="s">
        <v>20</v>
      </c>
      <c r="E161" t="s">
        <v>53</v>
      </c>
      <c r="F161" t="s">
        <v>54</v>
      </c>
      <c r="G161" t="s">
        <v>54</v>
      </c>
      <c r="H161" t="s">
        <v>651</v>
      </c>
      <c r="I161" t="s">
        <v>652</v>
      </c>
      <c r="M161">
        <v>9</v>
      </c>
    </row>
    <row r="162" spans="1:13" x14ac:dyDescent="0.25">
      <c r="A162" t="s">
        <v>862</v>
      </c>
      <c r="B162" t="s">
        <v>863</v>
      </c>
      <c r="C162" t="s">
        <v>864</v>
      </c>
      <c r="D162" t="s">
        <v>20</v>
      </c>
      <c r="E162" t="s">
        <v>53</v>
      </c>
      <c r="F162" t="s">
        <v>54</v>
      </c>
      <c r="G162" t="s">
        <v>54</v>
      </c>
      <c r="H162" t="s">
        <v>206</v>
      </c>
      <c r="I162" t="s">
        <v>60</v>
      </c>
      <c r="M162">
        <v>10</v>
      </c>
    </row>
    <row r="163" spans="1:13" x14ac:dyDescent="0.25">
      <c r="A163" t="s">
        <v>505</v>
      </c>
      <c r="B163" t="s">
        <v>506</v>
      </c>
      <c r="C163" t="s">
        <v>507</v>
      </c>
      <c r="D163" t="s">
        <v>20</v>
      </c>
      <c r="E163" t="s">
        <v>53</v>
      </c>
      <c r="F163" t="s">
        <v>54</v>
      </c>
      <c r="G163" t="s">
        <v>54</v>
      </c>
      <c r="H163" t="s">
        <v>204</v>
      </c>
      <c r="I163" t="s">
        <v>205</v>
      </c>
      <c r="M163">
        <v>1</v>
      </c>
    </row>
    <row r="164" spans="1:13" x14ac:dyDescent="0.25">
      <c r="A164" t="s">
        <v>505</v>
      </c>
      <c r="B164" t="s">
        <v>506</v>
      </c>
      <c r="C164" t="s">
        <v>507</v>
      </c>
      <c r="D164" t="s">
        <v>20</v>
      </c>
      <c r="E164" t="s">
        <v>53</v>
      </c>
      <c r="F164" t="s">
        <v>54</v>
      </c>
      <c r="G164" t="s">
        <v>54</v>
      </c>
      <c r="H164" t="s">
        <v>211</v>
      </c>
      <c r="I164" t="s">
        <v>212</v>
      </c>
      <c r="M164">
        <v>2</v>
      </c>
    </row>
    <row r="165" spans="1:13" x14ac:dyDescent="0.25">
      <c r="A165" t="s">
        <v>505</v>
      </c>
      <c r="B165" t="s">
        <v>506</v>
      </c>
      <c r="C165" t="s">
        <v>507</v>
      </c>
      <c r="D165" t="s">
        <v>20</v>
      </c>
      <c r="E165" t="s">
        <v>53</v>
      </c>
      <c r="F165" t="s">
        <v>54</v>
      </c>
      <c r="G165" t="s">
        <v>54</v>
      </c>
      <c r="H165" t="s">
        <v>508</v>
      </c>
      <c r="I165" t="s">
        <v>509</v>
      </c>
      <c r="M165">
        <v>3</v>
      </c>
    </row>
    <row r="166" spans="1:13" x14ac:dyDescent="0.25">
      <c r="A166" t="s">
        <v>505</v>
      </c>
      <c r="B166" t="s">
        <v>506</v>
      </c>
      <c r="C166" t="s">
        <v>507</v>
      </c>
      <c r="D166" t="s">
        <v>20</v>
      </c>
      <c r="E166" t="s">
        <v>53</v>
      </c>
      <c r="F166" t="s">
        <v>54</v>
      </c>
      <c r="G166" t="s">
        <v>54</v>
      </c>
      <c r="H166" t="s">
        <v>59</v>
      </c>
      <c r="I166" t="s">
        <v>60</v>
      </c>
      <c r="M166">
        <v>4</v>
      </c>
    </row>
    <row r="167" spans="1:13" x14ac:dyDescent="0.25">
      <c r="A167" t="s">
        <v>505</v>
      </c>
      <c r="B167" t="s">
        <v>506</v>
      </c>
      <c r="C167" t="s">
        <v>507</v>
      </c>
      <c r="D167" t="s">
        <v>20</v>
      </c>
      <c r="E167" t="s">
        <v>53</v>
      </c>
      <c r="F167" t="s">
        <v>54</v>
      </c>
      <c r="G167" t="s">
        <v>54</v>
      </c>
      <c r="H167" t="s">
        <v>55</v>
      </c>
      <c r="I167" t="s">
        <v>56</v>
      </c>
      <c r="M167">
        <v>5</v>
      </c>
    </row>
    <row r="168" spans="1:13" x14ac:dyDescent="0.25">
      <c r="A168" t="s">
        <v>505</v>
      </c>
      <c r="B168" t="s">
        <v>506</v>
      </c>
      <c r="C168" t="s">
        <v>507</v>
      </c>
      <c r="D168" t="s">
        <v>20</v>
      </c>
      <c r="E168" t="s">
        <v>53</v>
      </c>
      <c r="F168" t="s">
        <v>54</v>
      </c>
      <c r="G168" t="s">
        <v>54</v>
      </c>
      <c r="H168" t="s">
        <v>248</v>
      </c>
      <c r="I168" t="s">
        <v>249</v>
      </c>
      <c r="M168">
        <v>6</v>
      </c>
    </row>
    <row r="169" spans="1:13" x14ac:dyDescent="0.25">
      <c r="A169" t="s">
        <v>505</v>
      </c>
      <c r="B169" t="s">
        <v>506</v>
      </c>
      <c r="C169" t="s">
        <v>507</v>
      </c>
      <c r="D169" t="s">
        <v>20</v>
      </c>
      <c r="E169" t="s">
        <v>53</v>
      </c>
      <c r="F169" t="s">
        <v>54</v>
      </c>
      <c r="G169" t="s">
        <v>54</v>
      </c>
      <c r="H169" t="s">
        <v>407</v>
      </c>
      <c r="I169" t="s">
        <v>408</v>
      </c>
      <c r="M169">
        <v>7</v>
      </c>
    </row>
    <row r="170" spans="1:13" x14ac:dyDescent="0.25">
      <c r="A170" t="s">
        <v>505</v>
      </c>
      <c r="B170" t="s">
        <v>506</v>
      </c>
      <c r="C170" t="s">
        <v>507</v>
      </c>
      <c r="D170" t="s">
        <v>20</v>
      </c>
      <c r="E170" t="s">
        <v>53</v>
      </c>
      <c r="F170" t="s">
        <v>54</v>
      </c>
      <c r="G170" t="s">
        <v>54</v>
      </c>
      <c r="H170" t="s">
        <v>61</v>
      </c>
      <c r="I170" t="s">
        <v>62</v>
      </c>
      <c r="M170">
        <v>8</v>
      </c>
    </row>
    <row r="171" spans="1:13" x14ac:dyDescent="0.25">
      <c r="A171" t="s">
        <v>505</v>
      </c>
      <c r="B171" t="s">
        <v>506</v>
      </c>
      <c r="C171" t="s">
        <v>507</v>
      </c>
      <c r="D171" t="s">
        <v>20</v>
      </c>
      <c r="E171" t="s">
        <v>53</v>
      </c>
      <c r="F171" t="s">
        <v>54</v>
      </c>
      <c r="G171" t="s">
        <v>54</v>
      </c>
      <c r="H171" t="s">
        <v>262</v>
      </c>
      <c r="I171" t="s">
        <v>263</v>
      </c>
      <c r="M171">
        <v>9</v>
      </c>
    </row>
    <row r="172" spans="1:13" x14ac:dyDescent="0.25">
      <c r="A172" t="s">
        <v>505</v>
      </c>
      <c r="B172" t="s">
        <v>506</v>
      </c>
      <c r="C172" t="s">
        <v>507</v>
      </c>
      <c r="D172" t="s">
        <v>20</v>
      </c>
      <c r="E172" t="s">
        <v>53</v>
      </c>
      <c r="F172" t="s">
        <v>54</v>
      </c>
      <c r="G172" t="s">
        <v>54</v>
      </c>
      <c r="H172" t="s">
        <v>219</v>
      </c>
      <c r="I172" t="s">
        <v>221</v>
      </c>
      <c r="M172">
        <v>10</v>
      </c>
    </row>
    <row r="173" spans="1:13" x14ac:dyDescent="0.25">
      <c r="A173" t="s">
        <v>505</v>
      </c>
      <c r="B173" t="s">
        <v>506</v>
      </c>
      <c r="C173" t="s">
        <v>507</v>
      </c>
      <c r="D173" t="s">
        <v>20</v>
      </c>
      <c r="E173" t="s">
        <v>53</v>
      </c>
      <c r="F173" t="s">
        <v>54</v>
      </c>
      <c r="G173" t="s">
        <v>54</v>
      </c>
      <c r="H173" t="s">
        <v>219</v>
      </c>
      <c r="I173" t="s">
        <v>220</v>
      </c>
      <c r="M173">
        <v>10</v>
      </c>
    </row>
    <row r="174" spans="1:13" x14ac:dyDescent="0.25">
      <c r="A174" t="s">
        <v>510</v>
      </c>
      <c r="B174" t="s">
        <v>511</v>
      </c>
      <c r="C174" t="s">
        <v>512</v>
      </c>
      <c r="D174" t="s">
        <v>20</v>
      </c>
      <c r="E174" t="s">
        <v>53</v>
      </c>
      <c r="F174" t="s">
        <v>54</v>
      </c>
      <c r="G174" t="s">
        <v>54</v>
      </c>
      <c r="H174" t="s">
        <v>233</v>
      </c>
      <c r="I174" t="s">
        <v>234</v>
      </c>
      <c r="M174">
        <v>1</v>
      </c>
    </row>
    <row r="175" spans="1:13" x14ac:dyDescent="0.25">
      <c r="A175" t="s">
        <v>510</v>
      </c>
      <c r="B175" t="s">
        <v>511</v>
      </c>
      <c r="C175" t="s">
        <v>512</v>
      </c>
      <c r="D175" t="s">
        <v>20</v>
      </c>
      <c r="E175" t="s">
        <v>53</v>
      </c>
      <c r="F175" t="s">
        <v>54</v>
      </c>
      <c r="G175" t="s">
        <v>54</v>
      </c>
      <c r="H175" t="s">
        <v>407</v>
      </c>
      <c r="I175" t="s">
        <v>408</v>
      </c>
      <c r="M175">
        <v>2</v>
      </c>
    </row>
    <row r="176" spans="1:13" x14ac:dyDescent="0.25">
      <c r="A176" t="s">
        <v>510</v>
      </c>
      <c r="B176" t="s">
        <v>511</v>
      </c>
      <c r="C176" t="s">
        <v>512</v>
      </c>
      <c r="D176" t="s">
        <v>20</v>
      </c>
      <c r="E176" t="s">
        <v>53</v>
      </c>
      <c r="F176" t="s">
        <v>54</v>
      </c>
      <c r="G176" t="s">
        <v>54</v>
      </c>
      <c r="H176" t="s">
        <v>248</v>
      </c>
      <c r="I176" t="s">
        <v>249</v>
      </c>
      <c r="M176">
        <v>3</v>
      </c>
    </row>
    <row r="177" spans="1:13" x14ac:dyDescent="0.25">
      <c r="A177" t="s">
        <v>510</v>
      </c>
      <c r="B177" t="s">
        <v>511</v>
      </c>
      <c r="C177" t="s">
        <v>512</v>
      </c>
      <c r="D177" t="s">
        <v>20</v>
      </c>
      <c r="E177" t="s">
        <v>53</v>
      </c>
      <c r="F177" t="s">
        <v>54</v>
      </c>
      <c r="G177" t="s">
        <v>54</v>
      </c>
      <c r="H177" t="s">
        <v>89</v>
      </c>
      <c r="I177" t="s">
        <v>90</v>
      </c>
      <c r="M177">
        <v>4</v>
      </c>
    </row>
    <row r="178" spans="1:13" x14ac:dyDescent="0.25">
      <c r="A178" t="s">
        <v>510</v>
      </c>
      <c r="B178" t="s">
        <v>511</v>
      </c>
      <c r="C178" t="s">
        <v>512</v>
      </c>
      <c r="D178" t="s">
        <v>20</v>
      </c>
      <c r="E178" t="s">
        <v>53</v>
      </c>
      <c r="F178" t="s">
        <v>54</v>
      </c>
      <c r="G178" t="s">
        <v>54</v>
      </c>
      <c r="H178" t="s">
        <v>528</v>
      </c>
      <c r="I178" t="s">
        <v>529</v>
      </c>
      <c r="M178">
        <v>5</v>
      </c>
    </row>
    <row r="179" spans="1:13" x14ac:dyDescent="0.25">
      <c r="A179" t="s">
        <v>510</v>
      </c>
      <c r="B179" t="s">
        <v>511</v>
      </c>
      <c r="C179" t="s">
        <v>512</v>
      </c>
      <c r="D179" t="s">
        <v>20</v>
      </c>
      <c r="E179" t="s">
        <v>53</v>
      </c>
      <c r="F179" t="s">
        <v>54</v>
      </c>
      <c r="G179" t="s">
        <v>54</v>
      </c>
      <c r="H179" t="s">
        <v>138</v>
      </c>
      <c r="I179" t="s">
        <v>139</v>
      </c>
      <c r="M179">
        <v>6</v>
      </c>
    </row>
    <row r="180" spans="1:13" x14ac:dyDescent="0.25">
      <c r="A180" t="s">
        <v>510</v>
      </c>
      <c r="B180" t="s">
        <v>511</v>
      </c>
      <c r="C180" t="s">
        <v>512</v>
      </c>
      <c r="D180" t="s">
        <v>20</v>
      </c>
      <c r="E180" t="s">
        <v>53</v>
      </c>
      <c r="F180" t="s">
        <v>54</v>
      </c>
      <c r="G180" t="s">
        <v>54</v>
      </c>
      <c r="H180" t="s">
        <v>526</v>
      </c>
      <c r="I180" t="s">
        <v>527</v>
      </c>
      <c r="M180">
        <v>7</v>
      </c>
    </row>
    <row r="181" spans="1:13" x14ac:dyDescent="0.25">
      <c r="A181" t="s">
        <v>510</v>
      </c>
      <c r="B181" t="s">
        <v>511</v>
      </c>
      <c r="C181" t="s">
        <v>512</v>
      </c>
      <c r="D181" t="s">
        <v>20</v>
      </c>
      <c r="E181" t="s">
        <v>53</v>
      </c>
      <c r="F181" t="s">
        <v>54</v>
      </c>
      <c r="G181" t="s">
        <v>54</v>
      </c>
      <c r="H181" t="s">
        <v>55</v>
      </c>
      <c r="I181" t="s">
        <v>56</v>
      </c>
      <c r="M181">
        <v>8</v>
      </c>
    </row>
    <row r="182" spans="1:13" x14ac:dyDescent="0.25">
      <c r="A182" t="s">
        <v>510</v>
      </c>
      <c r="B182" t="s">
        <v>511</v>
      </c>
      <c r="C182" t="s">
        <v>512</v>
      </c>
      <c r="D182" t="s">
        <v>20</v>
      </c>
      <c r="E182" t="s">
        <v>53</v>
      </c>
      <c r="F182" t="s">
        <v>54</v>
      </c>
      <c r="G182" t="s">
        <v>54</v>
      </c>
      <c r="H182" t="s">
        <v>61</v>
      </c>
      <c r="I182" t="s">
        <v>62</v>
      </c>
      <c r="M182">
        <v>9</v>
      </c>
    </row>
    <row r="183" spans="1:13" x14ac:dyDescent="0.25">
      <c r="A183" t="s">
        <v>510</v>
      </c>
      <c r="B183" t="s">
        <v>511</v>
      </c>
      <c r="C183" t="s">
        <v>512</v>
      </c>
      <c r="D183" t="s">
        <v>20</v>
      </c>
      <c r="E183" t="s">
        <v>53</v>
      </c>
      <c r="F183" t="s">
        <v>54</v>
      </c>
      <c r="G183" t="s">
        <v>54</v>
      </c>
      <c r="H183" t="s">
        <v>36</v>
      </c>
      <c r="I183" t="s">
        <v>37</v>
      </c>
      <c r="M183">
        <v>10</v>
      </c>
    </row>
    <row r="184" spans="1:13" x14ac:dyDescent="0.25">
      <c r="A184" t="s">
        <v>962</v>
      </c>
      <c r="B184" t="s">
        <v>963</v>
      </c>
      <c r="C184" t="s">
        <v>964</v>
      </c>
      <c r="D184" t="s">
        <v>20</v>
      </c>
      <c r="E184" t="s">
        <v>53</v>
      </c>
      <c r="F184" t="s">
        <v>54</v>
      </c>
      <c r="G184" t="s">
        <v>54</v>
      </c>
      <c r="H184" t="s">
        <v>204</v>
      </c>
      <c r="I184" t="s">
        <v>205</v>
      </c>
      <c r="M184">
        <v>1</v>
      </c>
    </row>
    <row r="185" spans="1:13" x14ac:dyDescent="0.25">
      <c r="A185" t="s">
        <v>962</v>
      </c>
      <c r="B185" t="s">
        <v>963</v>
      </c>
      <c r="C185" t="s">
        <v>964</v>
      </c>
      <c r="D185" t="s">
        <v>20</v>
      </c>
      <c r="E185" t="s">
        <v>53</v>
      </c>
      <c r="F185" t="s">
        <v>54</v>
      </c>
      <c r="G185" t="s">
        <v>54</v>
      </c>
      <c r="H185" t="s">
        <v>255</v>
      </c>
      <c r="I185" t="s">
        <v>256</v>
      </c>
      <c r="M185">
        <v>2</v>
      </c>
    </row>
    <row r="186" spans="1:13" x14ac:dyDescent="0.25">
      <c r="A186" t="s">
        <v>962</v>
      </c>
      <c r="B186" t="s">
        <v>963</v>
      </c>
      <c r="C186" t="s">
        <v>964</v>
      </c>
      <c r="D186" t="s">
        <v>20</v>
      </c>
      <c r="E186" t="s">
        <v>53</v>
      </c>
      <c r="F186" t="s">
        <v>54</v>
      </c>
      <c r="G186" t="s">
        <v>54</v>
      </c>
      <c r="H186" t="s">
        <v>477</v>
      </c>
      <c r="I186" t="s">
        <v>478</v>
      </c>
      <c r="M186">
        <v>3</v>
      </c>
    </row>
    <row r="187" spans="1:13" x14ac:dyDescent="0.25">
      <c r="A187" t="s">
        <v>962</v>
      </c>
      <c r="B187" t="s">
        <v>963</v>
      </c>
      <c r="C187" t="s">
        <v>964</v>
      </c>
      <c r="D187" t="s">
        <v>20</v>
      </c>
      <c r="E187" t="s">
        <v>53</v>
      </c>
      <c r="F187" t="s">
        <v>54</v>
      </c>
      <c r="G187" t="s">
        <v>54</v>
      </c>
      <c r="H187" t="s">
        <v>716</v>
      </c>
      <c r="I187" t="s">
        <v>43</v>
      </c>
      <c r="M187">
        <v>4</v>
      </c>
    </row>
    <row r="188" spans="1:13" x14ac:dyDescent="0.25">
      <c r="A188" t="s">
        <v>962</v>
      </c>
      <c r="B188" t="s">
        <v>963</v>
      </c>
      <c r="C188" t="s">
        <v>964</v>
      </c>
      <c r="D188" t="s">
        <v>20</v>
      </c>
      <c r="E188" t="s">
        <v>53</v>
      </c>
      <c r="F188" t="s">
        <v>54</v>
      </c>
      <c r="G188" t="s">
        <v>54</v>
      </c>
      <c r="H188" t="s">
        <v>576</v>
      </c>
      <c r="I188" t="s">
        <v>198</v>
      </c>
      <c r="M188">
        <v>6</v>
      </c>
    </row>
    <row r="189" spans="1:13" x14ac:dyDescent="0.25">
      <c r="A189" t="s">
        <v>962</v>
      </c>
      <c r="B189" t="s">
        <v>963</v>
      </c>
      <c r="C189" t="s">
        <v>964</v>
      </c>
      <c r="D189" t="s">
        <v>20</v>
      </c>
      <c r="E189" t="s">
        <v>53</v>
      </c>
      <c r="F189" t="s">
        <v>54</v>
      </c>
      <c r="G189" t="s">
        <v>54</v>
      </c>
      <c r="H189" t="s">
        <v>36</v>
      </c>
      <c r="I189" t="s">
        <v>37</v>
      </c>
      <c r="M189">
        <v>7</v>
      </c>
    </row>
    <row r="190" spans="1:13" x14ac:dyDescent="0.25">
      <c r="A190" t="s">
        <v>962</v>
      </c>
      <c r="B190" t="s">
        <v>963</v>
      </c>
      <c r="C190" t="s">
        <v>964</v>
      </c>
      <c r="D190" t="s">
        <v>20</v>
      </c>
      <c r="E190" t="s">
        <v>53</v>
      </c>
      <c r="F190" t="s">
        <v>54</v>
      </c>
      <c r="G190" t="s">
        <v>54</v>
      </c>
      <c r="H190" t="s">
        <v>411</v>
      </c>
      <c r="I190" t="s">
        <v>50</v>
      </c>
      <c r="M190">
        <v>8</v>
      </c>
    </row>
    <row r="191" spans="1:13" x14ac:dyDescent="0.25">
      <c r="A191" t="s">
        <v>962</v>
      </c>
      <c r="B191" t="s">
        <v>963</v>
      </c>
      <c r="C191" t="s">
        <v>964</v>
      </c>
      <c r="D191" t="s">
        <v>20</v>
      </c>
      <c r="E191" t="s">
        <v>53</v>
      </c>
      <c r="F191" t="s">
        <v>54</v>
      </c>
      <c r="G191" t="s">
        <v>54</v>
      </c>
      <c r="H191" t="s">
        <v>871</v>
      </c>
      <c r="I191" t="s">
        <v>102</v>
      </c>
      <c r="M191">
        <v>9</v>
      </c>
    </row>
    <row r="192" spans="1:13" x14ac:dyDescent="0.25">
      <c r="A192" t="s">
        <v>962</v>
      </c>
      <c r="B192" t="s">
        <v>963</v>
      </c>
      <c r="C192" t="s">
        <v>964</v>
      </c>
      <c r="D192" t="s">
        <v>20</v>
      </c>
      <c r="E192" t="s">
        <v>53</v>
      </c>
      <c r="F192" t="s">
        <v>54</v>
      </c>
      <c r="G192" t="s">
        <v>54</v>
      </c>
      <c r="H192" t="s">
        <v>211</v>
      </c>
      <c r="I192" t="s">
        <v>212</v>
      </c>
      <c r="M192">
        <v>10</v>
      </c>
    </row>
    <row r="193" spans="1:13" x14ac:dyDescent="0.25">
      <c r="A193" t="s">
        <v>729</v>
      </c>
      <c r="B193" t="s">
        <v>730</v>
      </c>
      <c r="C193" t="s">
        <v>731</v>
      </c>
      <c r="D193" t="s">
        <v>20</v>
      </c>
      <c r="E193" t="s">
        <v>53</v>
      </c>
      <c r="F193" t="s">
        <v>54</v>
      </c>
      <c r="G193" t="s">
        <v>54</v>
      </c>
      <c r="H193" t="s">
        <v>736</v>
      </c>
      <c r="I193" t="s">
        <v>708</v>
      </c>
      <c r="M193">
        <v>1</v>
      </c>
    </row>
    <row r="194" spans="1:13" x14ac:dyDescent="0.25">
      <c r="A194" t="s">
        <v>729</v>
      </c>
      <c r="B194" t="s">
        <v>730</v>
      </c>
      <c r="C194" t="s">
        <v>731</v>
      </c>
      <c r="D194" t="s">
        <v>20</v>
      </c>
      <c r="E194" t="s">
        <v>53</v>
      </c>
      <c r="F194" t="s">
        <v>54</v>
      </c>
      <c r="G194" t="s">
        <v>54</v>
      </c>
      <c r="H194" t="s">
        <v>57</v>
      </c>
      <c r="I194" t="s">
        <v>58</v>
      </c>
      <c r="M194">
        <v>2</v>
      </c>
    </row>
    <row r="195" spans="1:13" x14ac:dyDescent="0.25">
      <c r="A195" t="s">
        <v>729</v>
      </c>
      <c r="B195" t="s">
        <v>730</v>
      </c>
      <c r="C195" t="s">
        <v>731</v>
      </c>
      <c r="D195" t="s">
        <v>20</v>
      </c>
      <c r="E195" t="s">
        <v>53</v>
      </c>
      <c r="F195" t="s">
        <v>54</v>
      </c>
      <c r="G195" t="s">
        <v>54</v>
      </c>
      <c r="H195" t="s">
        <v>84</v>
      </c>
      <c r="I195" t="s">
        <v>85</v>
      </c>
      <c r="M195">
        <v>3</v>
      </c>
    </row>
    <row r="196" spans="1:13" x14ac:dyDescent="0.25">
      <c r="A196" t="s">
        <v>267</v>
      </c>
      <c r="B196" t="s">
        <v>268</v>
      </c>
      <c r="C196" t="s">
        <v>269</v>
      </c>
      <c r="D196" t="s">
        <v>20</v>
      </c>
      <c r="E196" t="s">
        <v>53</v>
      </c>
      <c r="F196" t="s">
        <v>54</v>
      </c>
      <c r="G196" t="s">
        <v>54</v>
      </c>
      <c r="H196" t="s">
        <v>180</v>
      </c>
      <c r="I196" t="s">
        <v>181</v>
      </c>
      <c r="M196">
        <v>1</v>
      </c>
    </row>
    <row r="197" spans="1:13" x14ac:dyDescent="0.25">
      <c r="A197" t="s">
        <v>267</v>
      </c>
      <c r="B197" t="s">
        <v>268</v>
      </c>
      <c r="C197" t="s">
        <v>269</v>
      </c>
      <c r="D197" t="s">
        <v>20</v>
      </c>
      <c r="E197" t="s">
        <v>53</v>
      </c>
      <c r="F197" t="s">
        <v>54</v>
      </c>
      <c r="G197" t="s">
        <v>54</v>
      </c>
      <c r="H197" t="s">
        <v>204</v>
      </c>
      <c r="I197" t="s">
        <v>205</v>
      </c>
      <c r="M197">
        <v>2</v>
      </c>
    </row>
    <row r="198" spans="1:13" x14ac:dyDescent="0.25">
      <c r="A198" t="s">
        <v>267</v>
      </c>
      <c r="B198" t="s">
        <v>268</v>
      </c>
      <c r="C198" t="s">
        <v>269</v>
      </c>
      <c r="D198" t="s">
        <v>20</v>
      </c>
      <c r="E198" t="s">
        <v>53</v>
      </c>
      <c r="F198" t="s">
        <v>54</v>
      </c>
      <c r="G198" t="s">
        <v>54</v>
      </c>
      <c r="H198" t="s">
        <v>235</v>
      </c>
      <c r="I198" t="s">
        <v>236</v>
      </c>
      <c r="M198">
        <v>3</v>
      </c>
    </row>
    <row r="199" spans="1:13" x14ac:dyDescent="0.25">
      <c r="A199" t="s">
        <v>267</v>
      </c>
      <c r="B199" t="s">
        <v>268</v>
      </c>
      <c r="C199" t="s">
        <v>269</v>
      </c>
      <c r="D199" t="s">
        <v>20</v>
      </c>
      <c r="E199" t="s">
        <v>53</v>
      </c>
      <c r="F199" t="s">
        <v>54</v>
      </c>
      <c r="G199" t="s">
        <v>54</v>
      </c>
      <c r="H199" t="s">
        <v>253</v>
      </c>
      <c r="I199" t="s">
        <v>254</v>
      </c>
      <c r="M199">
        <v>4</v>
      </c>
    </row>
    <row r="200" spans="1:13" x14ac:dyDescent="0.25">
      <c r="A200" t="s">
        <v>267</v>
      </c>
      <c r="B200" t="s">
        <v>268</v>
      </c>
      <c r="C200" t="s">
        <v>269</v>
      </c>
      <c r="D200" t="s">
        <v>20</v>
      </c>
      <c r="E200" t="s">
        <v>53</v>
      </c>
      <c r="F200" t="s">
        <v>54</v>
      </c>
      <c r="G200" t="s">
        <v>54</v>
      </c>
      <c r="H200" t="s">
        <v>59</v>
      </c>
      <c r="I200" t="s">
        <v>60</v>
      </c>
      <c r="M200">
        <v>5</v>
      </c>
    </row>
    <row r="201" spans="1:13" x14ac:dyDescent="0.25">
      <c r="A201" t="s">
        <v>267</v>
      </c>
      <c r="B201" t="s">
        <v>268</v>
      </c>
      <c r="C201" t="s">
        <v>269</v>
      </c>
      <c r="D201" t="s">
        <v>20</v>
      </c>
      <c r="E201" t="s">
        <v>53</v>
      </c>
      <c r="F201" t="s">
        <v>54</v>
      </c>
      <c r="G201" t="s">
        <v>54</v>
      </c>
      <c r="H201" t="s">
        <v>201</v>
      </c>
      <c r="I201" t="s">
        <v>200</v>
      </c>
      <c r="M201">
        <v>6</v>
      </c>
    </row>
    <row r="202" spans="1:13" x14ac:dyDescent="0.25">
      <c r="A202" t="s">
        <v>267</v>
      </c>
      <c r="B202" t="s">
        <v>268</v>
      </c>
      <c r="C202" t="s">
        <v>269</v>
      </c>
      <c r="D202" t="s">
        <v>20</v>
      </c>
      <c r="E202" t="s">
        <v>53</v>
      </c>
      <c r="F202" t="s">
        <v>54</v>
      </c>
      <c r="G202" t="s">
        <v>54</v>
      </c>
      <c r="H202" t="s">
        <v>34</v>
      </c>
      <c r="I202" t="s">
        <v>35</v>
      </c>
      <c r="M202">
        <v>8</v>
      </c>
    </row>
    <row r="203" spans="1:13" x14ac:dyDescent="0.25">
      <c r="A203" t="s">
        <v>267</v>
      </c>
      <c r="B203" t="s">
        <v>268</v>
      </c>
      <c r="C203" t="s">
        <v>269</v>
      </c>
      <c r="D203" t="s">
        <v>20</v>
      </c>
      <c r="E203" t="s">
        <v>53</v>
      </c>
      <c r="F203" t="s">
        <v>54</v>
      </c>
      <c r="G203" t="s">
        <v>54</v>
      </c>
      <c r="H203" t="s">
        <v>277</v>
      </c>
      <c r="I203" t="s">
        <v>278</v>
      </c>
      <c r="M203">
        <v>9</v>
      </c>
    </row>
    <row r="204" spans="1:13" x14ac:dyDescent="0.25">
      <c r="A204" t="s">
        <v>267</v>
      </c>
      <c r="B204" t="s">
        <v>268</v>
      </c>
      <c r="C204" t="s">
        <v>269</v>
      </c>
      <c r="D204" t="s">
        <v>20</v>
      </c>
      <c r="E204" t="s">
        <v>53</v>
      </c>
      <c r="F204" t="s">
        <v>54</v>
      </c>
      <c r="G204" t="s">
        <v>54</v>
      </c>
      <c r="H204" t="s">
        <v>36</v>
      </c>
      <c r="I204" t="s">
        <v>37</v>
      </c>
      <c r="M204">
        <v>10</v>
      </c>
    </row>
    <row r="205" spans="1:13" x14ac:dyDescent="0.25">
      <c r="A205" t="s">
        <v>17</v>
      </c>
      <c r="B205" t="s">
        <v>18</v>
      </c>
      <c r="C205" t="s">
        <v>19</v>
      </c>
      <c r="D205" t="s">
        <v>20</v>
      </c>
      <c r="E205" t="s">
        <v>53</v>
      </c>
      <c r="F205" t="s">
        <v>54</v>
      </c>
      <c r="G205" t="s">
        <v>54</v>
      </c>
      <c r="H205" t="s">
        <v>34</v>
      </c>
      <c r="I205" t="s">
        <v>35</v>
      </c>
      <c r="M205">
        <v>1</v>
      </c>
    </row>
    <row r="206" spans="1:13" x14ac:dyDescent="0.25">
      <c r="A206" t="s">
        <v>17</v>
      </c>
      <c r="B206" t="s">
        <v>18</v>
      </c>
      <c r="C206" t="s">
        <v>19</v>
      </c>
      <c r="D206" t="s">
        <v>20</v>
      </c>
      <c r="E206" t="s">
        <v>53</v>
      </c>
      <c r="F206" t="s">
        <v>54</v>
      </c>
      <c r="G206" t="s">
        <v>54</v>
      </c>
      <c r="H206" t="s">
        <v>55</v>
      </c>
      <c r="I206" t="s">
        <v>56</v>
      </c>
      <c r="M206">
        <v>2</v>
      </c>
    </row>
    <row r="207" spans="1:13" x14ac:dyDescent="0.25">
      <c r="A207" t="s">
        <v>17</v>
      </c>
      <c r="B207" t="s">
        <v>18</v>
      </c>
      <c r="C207" t="s">
        <v>19</v>
      </c>
      <c r="D207" t="s">
        <v>20</v>
      </c>
      <c r="E207" t="s">
        <v>53</v>
      </c>
      <c r="F207" t="s">
        <v>54</v>
      </c>
      <c r="G207" t="s">
        <v>54</v>
      </c>
      <c r="H207" t="s">
        <v>57</v>
      </c>
      <c r="I207" t="s">
        <v>58</v>
      </c>
      <c r="M207">
        <v>3</v>
      </c>
    </row>
    <row r="208" spans="1:13" x14ac:dyDescent="0.25">
      <c r="A208" t="s">
        <v>17</v>
      </c>
      <c r="B208" t="s">
        <v>18</v>
      </c>
      <c r="C208" t="s">
        <v>19</v>
      </c>
      <c r="D208" t="s">
        <v>20</v>
      </c>
      <c r="E208" t="s">
        <v>53</v>
      </c>
      <c r="F208" t="s">
        <v>54</v>
      </c>
      <c r="G208" t="s">
        <v>54</v>
      </c>
      <c r="H208" t="s">
        <v>59</v>
      </c>
      <c r="I208" t="s">
        <v>60</v>
      </c>
      <c r="M208">
        <v>4</v>
      </c>
    </row>
    <row r="209" spans="1:13" x14ac:dyDescent="0.25">
      <c r="A209" t="s">
        <v>17</v>
      </c>
      <c r="B209" t="s">
        <v>18</v>
      </c>
      <c r="C209" t="s">
        <v>19</v>
      </c>
      <c r="D209" t="s">
        <v>20</v>
      </c>
      <c r="E209" t="s">
        <v>53</v>
      </c>
      <c r="F209" t="s">
        <v>54</v>
      </c>
      <c r="G209" t="s">
        <v>54</v>
      </c>
      <c r="H209" t="s">
        <v>61</v>
      </c>
      <c r="I209" t="s">
        <v>62</v>
      </c>
      <c r="M209">
        <v>6</v>
      </c>
    </row>
    <row r="210" spans="1:13" x14ac:dyDescent="0.25">
      <c r="A210" t="s">
        <v>17</v>
      </c>
      <c r="B210" t="s">
        <v>18</v>
      </c>
      <c r="C210" t="s">
        <v>19</v>
      </c>
      <c r="D210" t="s">
        <v>20</v>
      </c>
      <c r="E210" t="s">
        <v>53</v>
      </c>
      <c r="F210" t="s">
        <v>54</v>
      </c>
      <c r="G210" t="s">
        <v>54</v>
      </c>
      <c r="H210" t="s">
        <v>42</v>
      </c>
      <c r="I210" t="s">
        <v>43</v>
      </c>
      <c r="M210">
        <v>7</v>
      </c>
    </row>
    <row r="211" spans="1:13" x14ac:dyDescent="0.25">
      <c r="A211" t="s">
        <v>17</v>
      </c>
      <c r="B211" t="s">
        <v>18</v>
      </c>
      <c r="C211" t="s">
        <v>19</v>
      </c>
      <c r="D211" t="s">
        <v>20</v>
      </c>
      <c r="E211" t="s">
        <v>53</v>
      </c>
      <c r="F211" t="s">
        <v>54</v>
      </c>
      <c r="G211" t="s">
        <v>54</v>
      </c>
      <c r="H211" t="s">
        <v>63</v>
      </c>
      <c r="I211" t="s">
        <v>24</v>
      </c>
      <c r="M211">
        <v>8</v>
      </c>
    </row>
    <row r="212" spans="1:13" x14ac:dyDescent="0.25">
      <c r="A212" t="s">
        <v>674</v>
      </c>
      <c r="B212" t="s">
        <v>675</v>
      </c>
      <c r="C212" t="s">
        <v>676</v>
      </c>
      <c r="D212" t="s">
        <v>20</v>
      </c>
      <c r="E212" t="s">
        <v>53</v>
      </c>
      <c r="F212" t="s">
        <v>54</v>
      </c>
      <c r="G212" t="s">
        <v>54</v>
      </c>
      <c r="H212" t="s">
        <v>300</v>
      </c>
      <c r="I212" t="s">
        <v>301</v>
      </c>
      <c r="M212">
        <v>1</v>
      </c>
    </row>
    <row r="213" spans="1:13" x14ac:dyDescent="0.25">
      <c r="A213" t="s">
        <v>674</v>
      </c>
      <c r="B213" t="s">
        <v>675</v>
      </c>
      <c r="C213" t="s">
        <v>676</v>
      </c>
      <c r="D213" t="s">
        <v>20</v>
      </c>
      <c r="E213" t="s">
        <v>53</v>
      </c>
      <c r="F213" t="s">
        <v>54</v>
      </c>
      <c r="G213" t="s">
        <v>54</v>
      </c>
      <c r="H213" t="s">
        <v>477</v>
      </c>
      <c r="I213" t="s">
        <v>478</v>
      </c>
      <c r="M213">
        <v>2</v>
      </c>
    </row>
    <row r="214" spans="1:13" x14ac:dyDescent="0.25">
      <c r="A214" t="s">
        <v>674</v>
      </c>
      <c r="B214" t="s">
        <v>675</v>
      </c>
      <c r="C214" t="s">
        <v>676</v>
      </c>
      <c r="D214" t="s">
        <v>20</v>
      </c>
      <c r="E214" t="s">
        <v>53</v>
      </c>
      <c r="F214" t="s">
        <v>54</v>
      </c>
      <c r="G214" t="s">
        <v>54</v>
      </c>
      <c r="H214" t="s">
        <v>683</v>
      </c>
      <c r="I214" t="s">
        <v>104</v>
      </c>
      <c r="M214">
        <v>3</v>
      </c>
    </row>
    <row r="215" spans="1:13" x14ac:dyDescent="0.25">
      <c r="A215" t="s">
        <v>674</v>
      </c>
      <c r="B215" t="s">
        <v>675</v>
      </c>
      <c r="C215" t="s">
        <v>676</v>
      </c>
      <c r="D215" t="s">
        <v>20</v>
      </c>
      <c r="E215" t="s">
        <v>53</v>
      </c>
      <c r="F215" t="s">
        <v>54</v>
      </c>
      <c r="G215" t="s">
        <v>54</v>
      </c>
      <c r="H215" t="s">
        <v>525</v>
      </c>
      <c r="I215" t="s">
        <v>137</v>
      </c>
      <c r="M215">
        <v>5</v>
      </c>
    </row>
    <row r="216" spans="1:13" x14ac:dyDescent="0.25">
      <c r="A216" t="s">
        <v>674</v>
      </c>
      <c r="B216" t="s">
        <v>675</v>
      </c>
      <c r="C216" t="s">
        <v>676</v>
      </c>
      <c r="D216" t="s">
        <v>20</v>
      </c>
      <c r="E216" t="s">
        <v>53</v>
      </c>
      <c r="F216" t="s">
        <v>54</v>
      </c>
      <c r="G216" t="s">
        <v>54</v>
      </c>
      <c r="H216" t="s">
        <v>84</v>
      </c>
      <c r="I216" t="s">
        <v>85</v>
      </c>
      <c r="M216">
        <v>7</v>
      </c>
    </row>
    <row r="217" spans="1:13" x14ac:dyDescent="0.25">
      <c r="A217" t="s">
        <v>453</v>
      </c>
      <c r="B217" t="s">
        <v>454</v>
      </c>
      <c r="C217" t="s">
        <v>455</v>
      </c>
      <c r="D217" t="s">
        <v>20</v>
      </c>
      <c r="E217" t="s">
        <v>53</v>
      </c>
      <c r="F217" t="s">
        <v>54</v>
      </c>
      <c r="G217" t="s">
        <v>54</v>
      </c>
      <c r="H217" t="s">
        <v>475</v>
      </c>
      <c r="I217" t="s">
        <v>476</v>
      </c>
      <c r="M217">
        <v>1</v>
      </c>
    </row>
    <row r="218" spans="1:13" x14ac:dyDescent="0.25">
      <c r="A218" t="s">
        <v>453</v>
      </c>
      <c r="B218" t="s">
        <v>454</v>
      </c>
      <c r="C218" t="s">
        <v>455</v>
      </c>
      <c r="D218" t="s">
        <v>20</v>
      </c>
      <c r="E218" t="s">
        <v>53</v>
      </c>
      <c r="F218" t="s">
        <v>54</v>
      </c>
      <c r="G218" t="s">
        <v>54</v>
      </c>
      <c r="H218" t="s">
        <v>496</v>
      </c>
      <c r="I218" t="s">
        <v>497</v>
      </c>
      <c r="M218">
        <v>2</v>
      </c>
    </row>
    <row r="219" spans="1:13" x14ac:dyDescent="0.25">
      <c r="A219" t="s">
        <v>453</v>
      </c>
      <c r="B219" t="s">
        <v>454</v>
      </c>
      <c r="C219" t="s">
        <v>455</v>
      </c>
      <c r="D219" t="s">
        <v>20</v>
      </c>
      <c r="E219" t="s">
        <v>53</v>
      </c>
      <c r="F219" t="s">
        <v>54</v>
      </c>
      <c r="G219" t="s">
        <v>54</v>
      </c>
      <c r="H219" t="s">
        <v>504</v>
      </c>
      <c r="I219" t="s">
        <v>493</v>
      </c>
      <c r="M219">
        <v>3</v>
      </c>
    </row>
    <row r="220" spans="1:13" x14ac:dyDescent="0.25">
      <c r="A220" t="s">
        <v>453</v>
      </c>
      <c r="B220" t="s">
        <v>454</v>
      </c>
      <c r="C220" t="s">
        <v>455</v>
      </c>
      <c r="D220" t="s">
        <v>20</v>
      </c>
      <c r="E220" t="s">
        <v>53</v>
      </c>
      <c r="F220" t="s">
        <v>54</v>
      </c>
      <c r="G220" t="s">
        <v>54</v>
      </c>
      <c r="H220" t="s">
        <v>500</v>
      </c>
      <c r="I220" t="s">
        <v>501</v>
      </c>
      <c r="M220">
        <v>4</v>
      </c>
    </row>
    <row r="221" spans="1:13" x14ac:dyDescent="0.25">
      <c r="A221" t="s">
        <v>453</v>
      </c>
      <c r="B221" t="s">
        <v>454</v>
      </c>
      <c r="C221" t="s">
        <v>455</v>
      </c>
      <c r="D221" t="s">
        <v>20</v>
      </c>
      <c r="E221" t="s">
        <v>53</v>
      </c>
      <c r="F221" t="s">
        <v>54</v>
      </c>
      <c r="G221" t="s">
        <v>54</v>
      </c>
      <c r="H221" t="s">
        <v>483</v>
      </c>
      <c r="I221" t="s">
        <v>484</v>
      </c>
      <c r="M221">
        <v>5</v>
      </c>
    </row>
    <row r="222" spans="1:13" x14ac:dyDescent="0.25">
      <c r="A222" t="s">
        <v>453</v>
      </c>
      <c r="B222" t="s">
        <v>454</v>
      </c>
      <c r="C222" t="s">
        <v>455</v>
      </c>
      <c r="D222" t="s">
        <v>20</v>
      </c>
      <c r="E222" t="s">
        <v>53</v>
      </c>
      <c r="F222" t="s">
        <v>54</v>
      </c>
      <c r="G222" t="s">
        <v>54</v>
      </c>
      <c r="H222" t="s">
        <v>502</v>
      </c>
      <c r="I222" t="s">
        <v>503</v>
      </c>
      <c r="M222">
        <v>8</v>
      </c>
    </row>
    <row r="223" spans="1:13" x14ac:dyDescent="0.25">
      <c r="A223" t="s">
        <v>453</v>
      </c>
      <c r="B223" t="s">
        <v>454</v>
      </c>
      <c r="C223" t="s">
        <v>455</v>
      </c>
      <c r="D223" t="s">
        <v>20</v>
      </c>
      <c r="E223" t="s">
        <v>53</v>
      </c>
      <c r="F223" t="s">
        <v>54</v>
      </c>
      <c r="G223" t="s">
        <v>54</v>
      </c>
      <c r="H223" t="s">
        <v>324</v>
      </c>
      <c r="I223" t="s">
        <v>325</v>
      </c>
      <c r="M223">
        <v>9</v>
      </c>
    </row>
    <row r="224" spans="1:13" x14ac:dyDescent="0.25">
      <c r="A224" t="s">
        <v>453</v>
      </c>
      <c r="B224" t="s">
        <v>454</v>
      </c>
      <c r="C224" t="s">
        <v>455</v>
      </c>
      <c r="D224" t="s">
        <v>20</v>
      </c>
      <c r="E224" t="s">
        <v>53</v>
      </c>
      <c r="F224" t="s">
        <v>54</v>
      </c>
      <c r="G224" t="s">
        <v>54</v>
      </c>
      <c r="H224" t="s">
        <v>435</v>
      </c>
      <c r="I224" t="s">
        <v>436</v>
      </c>
      <c r="M224">
        <v>10</v>
      </c>
    </row>
    <row r="225" spans="1:13" x14ac:dyDescent="0.25">
      <c r="A225" t="s">
        <v>283</v>
      </c>
      <c r="B225" t="s">
        <v>284</v>
      </c>
      <c r="C225" t="s">
        <v>285</v>
      </c>
      <c r="D225" t="s">
        <v>20</v>
      </c>
      <c r="E225" t="s">
        <v>53</v>
      </c>
      <c r="F225" t="s">
        <v>54</v>
      </c>
      <c r="G225" t="s">
        <v>54</v>
      </c>
      <c r="H225" t="s">
        <v>306</v>
      </c>
      <c r="I225" t="s">
        <v>307</v>
      </c>
      <c r="M225">
        <v>1</v>
      </c>
    </row>
    <row r="226" spans="1:13" x14ac:dyDescent="0.25">
      <c r="A226" t="s">
        <v>283</v>
      </c>
      <c r="B226" t="s">
        <v>284</v>
      </c>
      <c r="C226" t="s">
        <v>285</v>
      </c>
      <c r="D226" t="s">
        <v>20</v>
      </c>
      <c r="E226" t="s">
        <v>53</v>
      </c>
      <c r="F226" t="s">
        <v>54</v>
      </c>
      <c r="G226" t="s">
        <v>54</v>
      </c>
      <c r="H226" t="s">
        <v>314</v>
      </c>
      <c r="I226" t="s">
        <v>315</v>
      </c>
      <c r="M226">
        <v>2</v>
      </c>
    </row>
    <row r="227" spans="1:13" x14ac:dyDescent="0.25">
      <c r="A227" t="s">
        <v>283</v>
      </c>
      <c r="B227" t="s">
        <v>284</v>
      </c>
      <c r="C227" t="s">
        <v>285</v>
      </c>
      <c r="D227" t="s">
        <v>20</v>
      </c>
      <c r="E227" t="s">
        <v>53</v>
      </c>
      <c r="F227" t="s">
        <v>54</v>
      </c>
      <c r="G227" t="s">
        <v>54</v>
      </c>
      <c r="H227" t="s">
        <v>316</v>
      </c>
      <c r="I227" t="s">
        <v>317</v>
      </c>
      <c r="M227">
        <v>3</v>
      </c>
    </row>
    <row r="228" spans="1:13" x14ac:dyDescent="0.25">
      <c r="A228" t="s">
        <v>283</v>
      </c>
      <c r="B228" t="s">
        <v>284</v>
      </c>
      <c r="C228" t="s">
        <v>285</v>
      </c>
      <c r="D228" t="s">
        <v>20</v>
      </c>
      <c r="E228" t="s">
        <v>53</v>
      </c>
      <c r="F228" t="s">
        <v>54</v>
      </c>
      <c r="G228" t="s">
        <v>54</v>
      </c>
      <c r="H228" t="s">
        <v>300</v>
      </c>
      <c r="I228" t="s">
        <v>301</v>
      </c>
      <c r="M228">
        <v>4</v>
      </c>
    </row>
    <row r="229" spans="1:13" x14ac:dyDescent="0.25">
      <c r="A229" t="s">
        <v>283</v>
      </c>
      <c r="B229" t="s">
        <v>284</v>
      </c>
      <c r="C229" t="s">
        <v>285</v>
      </c>
      <c r="D229" t="s">
        <v>20</v>
      </c>
      <c r="E229" t="s">
        <v>53</v>
      </c>
      <c r="F229" t="s">
        <v>54</v>
      </c>
      <c r="G229" t="s">
        <v>54</v>
      </c>
      <c r="H229" t="s">
        <v>318</v>
      </c>
      <c r="I229" t="s">
        <v>319</v>
      </c>
      <c r="M229">
        <v>5</v>
      </c>
    </row>
    <row r="230" spans="1:13" x14ac:dyDescent="0.25">
      <c r="A230" t="s">
        <v>283</v>
      </c>
      <c r="B230" t="s">
        <v>284</v>
      </c>
      <c r="C230" t="s">
        <v>285</v>
      </c>
      <c r="D230" t="s">
        <v>20</v>
      </c>
      <c r="E230" t="s">
        <v>53</v>
      </c>
      <c r="F230" t="s">
        <v>54</v>
      </c>
      <c r="G230" t="s">
        <v>54</v>
      </c>
      <c r="H230" t="s">
        <v>320</v>
      </c>
      <c r="I230" t="s">
        <v>321</v>
      </c>
      <c r="M230">
        <v>6</v>
      </c>
    </row>
    <row r="231" spans="1:13" x14ac:dyDescent="0.25">
      <c r="A231" t="s">
        <v>283</v>
      </c>
      <c r="B231" t="s">
        <v>284</v>
      </c>
      <c r="C231" t="s">
        <v>285</v>
      </c>
      <c r="D231" t="s">
        <v>20</v>
      </c>
      <c r="E231" t="s">
        <v>53</v>
      </c>
      <c r="F231" t="s">
        <v>54</v>
      </c>
      <c r="G231" t="s">
        <v>54</v>
      </c>
      <c r="H231" t="s">
        <v>322</v>
      </c>
      <c r="I231" t="s">
        <v>323</v>
      </c>
      <c r="M231">
        <v>7</v>
      </c>
    </row>
    <row r="232" spans="1:13" x14ac:dyDescent="0.25">
      <c r="A232" t="s">
        <v>283</v>
      </c>
      <c r="B232" t="s">
        <v>284</v>
      </c>
      <c r="C232" t="s">
        <v>285</v>
      </c>
      <c r="D232" t="s">
        <v>20</v>
      </c>
      <c r="E232" t="s">
        <v>53</v>
      </c>
      <c r="F232" t="s">
        <v>54</v>
      </c>
      <c r="G232" t="s">
        <v>54</v>
      </c>
      <c r="H232" t="s">
        <v>277</v>
      </c>
      <c r="I232" t="s">
        <v>278</v>
      </c>
      <c r="M232">
        <v>8</v>
      </c>
    </row>
    <row r="233" spans="1:13" x14ac:dyDescent="0.25">
      <c r="A233" t="s">
        <v>283</v>
      </c>
      <c r="B233" t="s">
        <v>284</v>
      </c>
      <c r="C233" t="s">
        <v>285</v>
      </c>
      <c r="D233" t="s">
        <v>20</v>
      </c>
      <c r="E233" t="s">
        <v>53</v>
      </c>
      <c r="F233" t="s">
        <v>54</v>
      </c>
      <c r="G233" t="s">
        <v>54</v>
      </c>
      <c r="H233" t="s">
        <v>324</v>
      </c>
      <c r="I233" t="s">
        <v>325</v>
      </c>
      <c r="M233">
        <v>9</v>
      </c>
    </row>
    <row r="234" spans="1:13" x14ac:dyDescent="0.25">
      <c r="A234" t="s">
        <v>919</v>
      </c>
      <c r="B234" t="s">
        <v>920</v>
      </c>
      <c r="C234" t="s">
        <v>921</v>
      </c>
      <c r="D234" t="s">
        <v>20</v>
      </c>
      <c r="E234" t="s">
        <v>53</v>
      </c>
      <c r="F234" t="s">
        <v>54</v>
      </c>
      <c r="G234" t="s">
        <v>54</v>
      </c>
      <c r="H234" t="s">
        <v>103</v>
      </c>
      <c r="I234" t="s">
        <v>104</v>
      </c>
      <c r="M234">
        <v>1</v>
      </c>
    </row>
    <row r="235" spans="1:13" x14ac:dyDescent="0.25">
      <c r="A235" t="s">
        <v>919</v>
      </c>
      <c r="B235" t="s">
        <v>920</v>
      </c>
      <c r="C235" t="s">
        <v>921</v>
      </c>
      <c r="D235" t="s">
        <v>20</v>
      </c>
      <c r="E235" t="s">
        <v>53</v>
      </c>
      <c r="F235" t="s">
        <v>54</v>
      </c>
      <c r="G235" t="s">
        <v>54</v>
      </c>
      <c r="H235" t="s">
        <v>105</v>
      </c>
      <c r="I235" t="s">
        <v>106</v>
      </c>
      <c r="M235">
        <v>2</v>
      </c>
    </row>
    <row r="236" spans="1:13" x14ac:dyDescent="0.25">
      <c r="A236" t="s">
        <v>919</v>
      </c>
      <c r="B236" t="s">
        <v>920</v>
      </c>
      <c r="C236" t="s">
        <v>921</v>
      </c>
      <c r="D236" t="s">
        <v>20</v>
      </c>
      <c r="E236" t="s">
        <v>53</v>
      </c>
      <c r="F236" t="s">
        <v>54</v>
      </c>
      <c r="G236" t="s">
        <v>54</v>
      </c>
      <c r="H236" t="s">
        <v>204</v>
      </c>
      <c r="I236" t="s">
        <v>205</v>
      </c>
      <c r="M236">
        <v>3</v>
      </c>
    </row>
    <row r="237" spans="1:13" x14ac:dyDescent="0.25">
      <c r="A237" t="s">
        <v>919</v>
      </c>
      <c r="B237" t="s">
        <v>920</v>
      </c>
      <c r="C237" t="s">
        <v>921</v>
      </c>
      <c r="D237" t="s">
        <v>20</v>
      </c>
      <c r="E237" t="s">
        <v>53</v>
      </c>
      <c r="F237" t="s">
        <v>54</v>
      </c>
      <c r="G237" t="s">
        <v>54</v>
      </c>
      <c r="H237" t="s">
        <v>952</v>
      </c>
      <c r="I237" t="s">
        <v>953</v>
      </c>
      <c r="M237">
        <v>4</v>
      </c>
    </row>
    <row r="238" spans="1:13" x14ac:dyDescent="0.25">
      <c r="A238" t="s">
        <v>919</v>
      </c>
      <c r="B238" t="s">
        <v>920</v>
      </c>
      <c r="C238" t="s">
        <v>921</v>
      </c>
      <c r="D238" t="s">
        <v>20</v>
      </c>
      <c r="E238" t="s">
        <v>53</v>
      </c>
      <c r="F238" t="s">
        <v>54</v>
      </c>
      <c r="G238" t="s">
        <v>54</v>
      </c>
      <c r="H238" t="s">
        <v>300</v>
      </c>
      <c r="I238" t="s">
        <v>301</v>
      </c>
      <c r="M238">
        <v>5</v>
      </c>
    </row>
    <row r="239" spans="1:13" x14ac:dyDescent="0.25">
      <c r="A239" t="s">
        <v>919</v>
      </c>
      <c r="B239" t="s">
        <v>920</v>
      </c>
      <c r="C239" t="s">
        <v>921</v>
      </c>
      <c r="D239" t="s">
        <v>20</v>
      </c>
      <c r="E239" t="s">
        <v>53</v>
      </c>
      <c r="F239" t="s">
        <v>54</v>
      </c>
      <c r="G239" t="s">
        <v>54</v>
      </c>
      <c r="H239" t="s">
        <v>954</v>
      </c>
      <c r="I239" t="s">
        <v>955</v>
      </c>
      <c r="M239">
        <v>6</v>
      </c>
    </row>
    <row r="240" spans="1:13" x14ac:dyDescent="0.25">
      <c r="A240" t="s">
        <v>919</v>
      </c>
      <c r="B240" t="s">
        <v>920</v>
      </c>
      <c r="C240" t="s">
        <v>921</v>
      </c>
      <c r="D240" t="s">
        <v>20</v>
      </c>
      <c r="E240" t="s">
        <v>53</v>
      </c>
      <c r="F240" t="s">
        <v>54</v>
      </c>
      <c r="G240" t="s">
        <v>54</v>
      </c>
      <c r="H240" t="s">
        <v>954</v>
      </c>
      <c r="I240" t="s">
        <v>956</v>
      </c>
      <c r="M240">
        <v>6</v>
      </c>
    </row>
    <row r="241" spans="1:13" x14ac:dyDescent="0.25">
      <c r="A241" t="s">
        <v>919</v>
      </c>
      <c r="B241" t="s">
        <v>920</v>
      </c>
      <c r="C241" t="s">
        <v>921</v>
      </c>
      <c r="D241" t="s">
        <v>20</v>
      </c>
      <c r="E241" t="s">
        <v>53</v>
      </c>
      <c r="F241" t="s">
        <v>54</v>
      </c>
      <c r="G241" t="s">
        <v>54</v>
      </c>
      <c r="H241" t="s">
        <v>504</v>
      </c>
      <c r="I241" t="s">
        <v>493</v>
      </c>
      <c r="M241">
        <v>7</v>
      </c>
    </row>
    <row r="242" spans="1:13" x14ac:dyDescent="0.25">
      <c r="A242" t="s">
        <v>919</v>
      </c>
      <c r="B242" t="s">
        <v>920</v>
      </c>
      <c r="C242" t="s">
        <v>921</v>
      </c>
      <c r="D242" t="s">
        <v>20</v>
      </c>
      <c r="E242" t="s">
        <v>53</v>
      </c>
      <c r="F242" t="s">
        <v>54</v>
      </c>
      <c r="G242" t="s">
        <v>54</v>
      </c>
      <c r="H242" t="s">
        <v>574</v>
      </c>
      <c r="I242" t="s">
        <v>575</v>
      </c>
      <c r="M242">
        <v>9</v>
      </c>
    </row>
    <row r="243" spans="1:13" x14ac:dyDescent="0.25">
      <c r="A243" t="s">
        <v>919</v>
      </c>
      <c r="B243" t="s">
        <v>920</v>
      </c>
      <c r="C243" t="s">
        <v>921</v>
      </c>
      <c r="D243" t="s">
        <v>20</v>
      </c>
      <c r="E243" t="s">
        <v>53</v>
      </c>
      <c r="F243" t="s">
        <v>54</v>
      </c>
      <c r="G243" t="s">
        <v>54</v>
      </c>
      <c r="H243" t="s">
        <v>957</v>
      </c>
      <c r="I243" t="s">
        <v>958</v>
      </c>
      <c r="M243">
        <v>10</v>
      </c>
    </row>
    <row r="244" spans="1:13" x14ac:dyDescent="0.25">
      <c r="A244" t="s">
        <v>416</v>
      </c>
      <c r="B244" t="s">
        <v>417</v>
      </c>
      <c r="C244" t="s">
        <v>418</v>
      </c>
      <c r="D244" t="s">
        <v>20</v>
      </c>
      <c r="E244" t="s">
        <v>53</v>
      </c>
      <c r="F244" t="s">
        <v>54</v>
      </c>
      <c r="G244" t="s">
        <v>54</v>
      </c>
      <c r="H244" t="s">
        <v>443</v>
      </c>
      <c r="I244" t="s">
        <v>444</v>
      </c>
      <c r="M244">
        <v>1</v>
      </c>
    </row>
    <row r="245" spans="1:13" x14ac:dyDescent="0.25">
      <c r="A245" t="s">
        <v>416</v>
      </c>
      <c r="B245" t="s">
        <v>417</v>
      </c>
      <c r="C245" t="s">
        <v>418</v>
      </c>
      <c r="D245" t="s">
        <v>20</v>
      </c>
      <c r="E245" t="s">
        <v>53</v>
      </c>
      <c r="F245" t="s">
        <v>54</v>
      </c>
      <c r="G245" t="s">
        <v>54</v>
      </c>
      <c r="H245" t="s">
        <v>427</v>
      </c>
      <c r="I245" t="s">
        <v>428</v>
      </c>
      <c r="M245">
        <v>2</v>
      </c>
    </row>
    <row r="246" spans="1:13" x14ac:dyDescent="0.25">
      <c r="A246" t="s">
        <v>416</v>
      </c>
      <c r="B246" t="s">
        <v>417</v>
      </c>
      <c r="C246" t="s">
        <v>418</v>
      </c>
      <c r="D246" t="s">
        <v>20</v>
      </c>
      <c r="E246" t="s">
        <v>53</v>
      </c>
      <c r="F246" t="s">
        <v>54</v>
      </c>
      <c r="G246" t="s">
        <v>54</v>
      </c>
      <c r="H246" t="s">
        <v>42</v>
      </c>
      <c r="I246" t="s">
        <v>43</v>
      </c>
      <c r="M246">
        <v>3</v>
      </c>
    </row>
    <row r="247" spans="1:13" x14ac:dyDescent="0.25">
      <c r="A247" t="s">
        <v>416</v>
      </c>
      <c r="B247" t="s">
        <v>417</v>
      </c>
      <c r="C247" t="s">
        <v>418</v>
      </c>
      <c r="D247" t="s">
        <v>20</v>
      </c>
      <c r="E247" t="s">
        <v>53</v>
      </c>
      <c r="F247" t="s">
        <v>54</v>
      </c>
      <c r="G247" t="s">
        <v>54</v>
      </c>
      <c r="H247" t="s">
        <v>445</v>
      </c>
      <c r="I247" t="s">
        <v>446</v>
      </c>
      <c r="M247">
        <v>4</v>
      </c>
    </row>
    <row r="248" spans="1:13" x14ac:dyDescent="0.25">
      <c r="A248" t="s">
        <v>416</v>
      </c>
      <c r="B248" t="s">
        <v>417</v>
      </c>
      <c r="C248" t="s">
        <v>418</v>
      </c>
      <c r="D248" t="s">
        <v>20</v>
      </c>
      <c r="E248" t="s">
        <v>53</v>
      </c>
      <c r="F248" t="s">
        <v>54</v>
      </c>
      <c r="G248" t="s">
        <v>54</v>
      </c>
      <c r="H248" t="s">
        <v>195</v>
      </c>
      <c r="I248" t="s">
        <v>196</v>
      </c>
      <c r="M248">
        <v>5</v>
      </c>
    </row>
    <row r="249" spans="1:13" x14ac:dyDescent="0.25">
      <c r="A249" t="s">
        <v>416</v>
      </c>
      <c r="B249" t="s">
        <v>417</v>
      </c>
      <c r="C249" t="s">
        <v>418</v>
      </c>
      <c r="D249" t="s">
        <v>20</v>
      </c>
      <c r="E249" t="s">
        <v>53</v>
      </c>
      <c r="F249" t="s">
        <v>54</v>
      </c>
      <c r="G249" t="s">
        <v>54</v>
      </c>
      <c r="H249" t="s">
        <v>55</v>
      </c>
      <c r="I249" t="s">
        <v>56</v>
      </c>
      <c r="M249">
        <v>6</v>
      </c>
    </row>
    <row r="250" spans="1:13" x14ac:dyDescent="0.25">
      <c r="A250" t="s">
        <v>416</v>
      </c>
      <c r="B250" t="s">
        <v>417</v>
      </c>
      <c r="C250" t="s">
        <v>418</v>
      </c>
      <c r="D250" t="s">
        <v>20</v>
      </c>
      <c r="E250" t="s">
        <v>53</v>
      </c>
      <c r="F250" t="s">
        <v>54</v>
      </c>
      <c r="G250" t="s">
        <v>54</v>
      </c>
      <c r="H250" t="s">
        <v>447</v>
      </c>
      <c r="I250" t="s">
        <v>448</v>
      </c>
      <c r="M250">
        <v>7</v>
      </c>
    </row>
    <row r="251" spans="1:13" x14ac:dyDescent="0.25">
      <c r="A251" t="s">
        <v>416</v>
      </c>
      <c r="B251" t="s">
        <v>417</v>
      </c>
      <c r="C251" t="s">
        <v>418</v>
      </c>
      <c r="D251" t="s">
        <v>20</v>
      </c>
      <c r="E251" t="s">
        <v>53</v>
      </c>
      <c r="F251" t="s">
        <v>54</v>
      </c>
      <c r="G251" t="s">
        <v>54</v>
      </c>
      <c r="H251" t="s">
        <v>449</v>
      </c>
      <c r="I251" t="s">
        <v>450</v>
      </c>
      <c r="M251">
        <v>8</v>
      </c>
    </row>
    <row r="252" spans="1:13" x14ac:dyDescent="0.25">
      <c r="A252" t="s">
        <v>416</v>
      </c>
      <c r="B252" t="s">
        <v>417</v>
      </c>
      <c r="C252" t="s">
        <v>418</v>
      </c>
      <c r="D252" t="s">
        <v>20</v>
      </c>
      <c r="E252" t="s">
        <v>53</v>
      </c>
      <c r="F252" t="s">
        <v>54</v>
      </c>
      <c r="G252" t="s">
        <v>54</v>
      </c>
      <c r="H252" t="s">
        <v>451</v>
      </c>
      <c r="I252" t="s">
        <v>452</v>
      </c>
      <c r="M252">
        <v>9</v>
      </c>
    </row>
    <row r="253" spans="1:13" x14ac:dyDescent="0.25">
      <c r="A253" t="s">
        <v>416</v>
      </c>
      <c r="B253" t="s">
        <v>417</v>
      </c>
      <c r="C253" t="s">
        <v>418</v>
      </c>
      <c r="D253" t="s">
        <v>20</v>
      </c>
      <c r="E253" t="s">
        <v>53</v>
      </c>
      <c r="F253" t="s">
        <v>54</v>
      </c>
      <c r="G253" t="s">
        <v>54</v>
      </c>
      <c r="H253" t="s">
        <v>142</v>
      </c>
      <c r="I253" t="s">
        <v>143</v>
      </c>
      <c r="M253">
        <v>10</v>
      </c>
    </row>
    <row r="254" spans="1:13" x14ac:dyDescent="0.25">
      <c r="A254" t="s">
        <v>684</v>
      </c>
      <c r="B254" t="s">
        <v>685</v>
      </c>
      <c r="C254" t="s">
        <v>686</v>
      </c>
      <c r="D254" t="s">
        <v>20</v>
      </c>
      <c r="E254" t="s">
        <v>53</v>
      </c>
      <c r="F254" t="s">
        <v>54</v>
      </c>
      <c r="G254" t="s">
        <v>54</v>
      </c>
      <c r="H254" t="s">
        <v>689</v>
      </c>
      <c r="I254" t="s">
        <v>131</v>
      </c>
      <c r="M254">
        <v>1</v>
      </c>
    </row>
    <row r="255" spans="1:13" x14ac:dyDescent="0.25">
      <c r="A255" t="s">
        <v>684</v>
      </c>
      <c r="B255" t="s">
        <v>685</v>
      </c>
      <c r="C255" t="s">
        <v>686</v>
      </c>
      <c r="D255" t="s">
        <v>20</v>
      </c>
      <c r="E255" t="s">
        <v>53</v>
      </c>
      <c r="F255" t="s">
        <v>54</v>
      </c>
      <c r="G255" t="s">
        <v>54</v>
      </c>
      <c r="H255" t="s">
        <v>558</v>
      </c>
      <c r="I255" t="s">
        <v>559</v>
      </c>
      <c r="M255">
        <v>2</v>
      </c>
    </row>
    <row r="256" spans="1:13" x14ac:dyDescent="0.25">
      <c r="A256" t="s">
        <v>684</v>
      </c>
      <c r="B256" t="s">
        <v>685</v>
      </c>
      <c r="C256" t="s">
        <v>686</v>
      </c>
      <c r="D256" t="s">
        <v>20</v>
      </c>
      <c r="E256" t="s">
        <v>53</v>
      </c>
      <c r="F256" t="s">
        <v>54</v>
      </c>
      <c r="G256" t="s">
        <v>54</v>
      </c>
      <c r="H256" t="s">
        <v>690</v>
      </c>
      <c r="I256" t="s">
        <v>691</v>
      </c>
      <c r="M256">
        <v>3</v>
      </c>
    </row>
    <row r="257" spans="1:13" x14ac:dyDescent="0.25">
      <c r="A257" t="s">
        <v>684</v>
      </c>
      <c r="B257" t="s">
        <v>685</v>
      </c>
      <c r="C257" t="s">
        <v>686</v>
      </c>
      <c r="D257" t="s">
        <v>20</v>
      </c>
      <c r="E257" t="s">
        <v>53</v>
      </c>
      <c r="F257" t="s">
        <v>54</v>
      </c>
      <c r="G257" t="s">
        <v>54</v>
      </c>
      <c r="H257" t="s">
        <v>657</v>
      </c>
      <c r="I257" t="s">
        <v>658</v>
      </c>
      <c r="M257">
        <v>4</v>
      </c>
    </row>
    <row r="258" spans="1:13" x14ac:dyDescent="0.25">
      <c r="A258" t="s">
        <v>684</v>
      </c>
      <c r="B258" t="s">
        <v>685</v>
      </c>
      <c r="C258" t="s">
        <v>686</v>
      </c>
      <c r="D258" t="s">
        <v>20</v>
      </c>
      <c r="E258" t="s">
        <v>53</v>
      </c>
      <c r="F258" t="s">
        <v>54</v>
      </c>
      <c r="G258" t="s">
        <v>54</v>
      </c>
      <c r="H258" t="s">
        <v>84</v>
      </c>
      <c r="I258" t="s">
        <v>85</v>
      </c>
      <c r="M258">
        <v>5</v>
      </c>
    </row>
    <row r="259" spans="1:13" x14ac:dyDescent="0.25">
      <c r="A259" t="s">
        <v>684</v>
      </c>
      <c r="B259" t="s">
        <v>685</v>
      </c>
      <c r="C259" t="s">
        <v>686</v>
      </c>
      <c r="D259" t="s">
        <v>20</v>
      </c>
      <c r="E259" t="s">
        <v>53</v>
      </c>
      <c r="F259" t="s">
        <v>54</v>
      </c>
      <c r="G259" t="s">
        <v>54</v>
      </c>
      <c r="H259" t="s">
        <v>692</v>
      </c>
      <c r="I259" t="s">
        <v>693</v>
      </c>
      <c r="M259">
        <v>6</v>
      </c>
    </row>
    <row r="260" spans="1:13" x14ac:dyDescent="0.25">
      <c r="A260" t="s">
        <v>684</v>
      </c>
      <c r="B260" t="s">
        <v>685</v>
      </c>
      <c r="C260" t="s">
        <v>686</v>
      </c>
      <c r="D260" t="s">
        <v>20</v>
      </c>
      <c r="E260" t="s">
        <v>53</v>
      </c>
      <c r="F260" t="s">
        <v>54</v>
      </c>
      <c r="G260" t="s">
        <v>54</v>
      </c>
      <c r="H260" t="s">
        <v>103</v>
      </c>
      <c r="I260" t="s">
        <v>104</v>
      </c>
      <c r="M260">
        <v>8</v>
      </c>
    </row>
    <row r="261" spans="1:13" x14ac:dyDescent="0.25">
      <c r="A261" t="s">
        <v>684</v>
      </c>
      <c r="B261" t="s">
        <v>685</v>
      </c>
      <c r="C261" t="s">
        <v>686</v>
      </c>
      <c r="D261" t="s">
        <v>20</v>
      </c>
      <c r="E261" t="s">
        <v>53</v>
      </c>
      <c r="F261" t="s">
        <v>54</v>
      </c>
      <c r="G261" t="s">
        <v>54</v>
      </c>
      <c r="H261" t="s">
        <v>231</v>
      </c>
      <c r="I261" t="s">
        <v>232</v>
      </c>
      <c r="M261">
        <v>9</v>
      </c>
    </row>
    <row r="262" spans="1:13" x14ac:dyDescent="0.25">
      <c r="A262" t="s">
        <v>684</v>
      </c>
      <c r="B262" t="s">
        <v>685</v>
      </c>
      <c r="C262" t="s">
        <v>686</v>
      </c>
      <c r="D262" t="s">
        <v>20</v>
      </c>
      <c r="E262" t="s">
        <v>53</v>
      </c>
      <c r="F262" t="s">
        <v>54</v>
      </c>
      <c r="G262" t="s">
        <v>54</v>
      </c>
      <c r="H262" t="s">
        <v>694</v>
      </c>
      <c r="I262" t="s">
        <v>303</v>
      </c>
      <c r="M262">
        <v>10</v>
      </c>
    </row>
    <row r="263" spans="1:13" x14ac:dyDescent="0.25">
      <c r="A263" t="s">
        <v>585</v>
      </c>
      <c r="B263" t="s">
        <v>586</v>
      </c>
      <c r="C263" t="s">
        <v>587</v>
      </c>
      <c r="D263" t="s">
        <v>20</v>
      </c>
      <c r="E263" t="s">
        <v>53</v>
      </c>
      <c r="F263" t="s">
        <v>54</v>
      </c>
      <c r="G263" t="s">
        <v>54</v>
      </c>
      <c r="H263" t="s">
        <v>57</v>
      </c>
      <c r="I263" t="s">
        <v>58</v>
      </c>
      <c r="M263">
        <v>1</v>
      </c>
    </row>
    <row r="264" spans="1:13" x14ac:dyDescent="0.25">
      <c r="A264" t="s">
        <v>585</v>
      </c>
      <c r="B264" t="s">
        <v>586</v>
      </c>
      <c r="C264" t="s">
        <v>587</v>
      </c>
      <c r="D264" t="s">
        <v>20</v>
      </c>
      <c r="E264" t="s">
        <v>53</v>
      </c>
      <c r="F264" t="s">
        <v>54</v>
      </c>
      <c r="G264" t="s">
        <v>54</v>
      </c>
      <c r="H264" t="s">
        <v>42</v>
      </c>
      <c r="I264" t="s">
        <v>43</v>
      </c>
      <c r="M264">
        <v>2</v>
      </c>
    </row>
    <row r="265" spans="1:13" x14ac:dyDescent="0.25">
      <c r="A265" t="s">
        <v>585</v>
      </c>
      <c r="B265" t="s">
        <v>586</v>
      </c>
      <c r="C265" t="s">
        <v>587</v>
      </c>
      <c r="D265" t="s">
        <v>20</v>
      </c>
      <c r="E265" t="s">
        <v>53</v>
      </c>
      <c r="F265" t="s">
        <v>54</v>
      </c>
      <c r="G265" t="s">
        <v>54</v>
      </c>
      <c r="H265" t="s">
        <v>588</v>
      </c>
      <c r="I265" t="s">
        <v>589</v>
      </c>
      <c r="M265">
        <v>3</v>
      </c>
    </row>
    <row r="266" spans="1:13" x14ac:dyDescent="0.25">
      <c r="A266" t="s">
        <v>585</v>
      </c>
      <c r="B266" t="s">
        <v>586</v>
      </c>
      <c r="C266" t="s">
        <v>587</v>
      </c>
      <c r="D266" t="s">
        <v>20</v>
      </c>
      <c r="E266" t="s">
        <v>53</v>
      </c>
      <c r="F266" t="s">
        <v>54</v>
      </c>
      <c r="G266" t="s">
        <v>54</v>
      </c>
      <c r="H266" t="s">
        <v>55</v>
      </c>
      <c r="I266" t="s">
        <v>56</v>
      </c>
      <c r="M266">
        <v>4</v>
      </c>
    </row>
    <row r="267" spans="1:13" x14ac:dyDescent="0.25">
      <c r="A267" t="s">
        <v>240</v>
      </c>
      <c r="B267" t="s">
        <v>241</v>
      </c>
      <c r="C267" t="s">
        <v>242</v>
      </c>
      <c r="D267" t="s">
        <v>20</v>
      </c>
      <c r="E267" t="s">
        <v>53</v>
      </c>
      <c r="F267" t="s">
        <v>54</v>
      </c>
      <c r="G267" t="s">
        <v>54</v>
      </c>
      <c r="H267" t="s">
        <v>207</v>
      </c>
      <c r="I267" t="s">
        <v>208</v>
      </c>
      <c r="M267">
        <v>1</v>
      </c>
    </row>
    <row r="268" spans="1:13" x14ac:dyDescent="0.25">
      <c r="A268" t="s">
        <v>240</v>
      </c>
      <c r="B268" t="s">
        <v>241</v>
      </c>
      <c r="C268" t="s">
        <v>242</v>
      </c>
      <c r="D268" t="s">
        <v>20</v>
      </c>
      <c r="E268" t="s">
        <v>53</v>
      </c>
      <c r="F268" t="s">
        <v>54</v>
      </c>
      <c r="G268" t="s">
        <v>54</v>
      </c>
      <c r="H268" t="s">
        <v>204</v>
      </c>
      <c r="I268" t="s">
        <v>205</v>
      </c>
      <c r="M268">
        <v>2</v>
      </c>
    </row>
    <row r="269" spans="1:13" x14ac:dyDescent="0.25">
      <c r="A269" t="s">
        <v>240</v>
      </c>
      <c r="B269" t="s">
        <v>241</v>
      </c>
      <c r="C269" t="s">
        <v>242</v>
      </c>
      <c r="D269" t="s">
        <v>20</v>
      </c>
      <c r="E269" t="s">
        <v>53</v>
      </c>
      <c r="F269" t="s">
        <v>54</v>
      </c>
      <c r="G269" t="s">
        <v>54</v>
      </c>
      <c r="H269" t="s">
        <v>258</v>
      </c>
      <c r="I269" t="s">
        <v>259</v>
      </c>
      <c r="M269">
        <v>3</v>
      </c>
    </row>
    <row r="270" spans="1:13" x14ac:dyDescent="0.25">
      <c r="A270" t="s">
        <v>240</v>
      </c>
      <c r="B270" t="s">
        <v>241</v>
      </c>
      <c r="C270" t="s">
        <v>242</v>
      </c>
      <c r="D270" t="s">
        <v>20</v>
      </c>
      <c r="E270" t="s">
        <v>53</v>
      </c>
      <c r="F270" t="s">
        <v>54</v>
      </c>
      <c r="G270" t="s">
        <v>54</v>
      </c>
      <c r="H270" t="s">
        <v>260</v>
      </c>
      <c r="I270" t="s">
        <v>261</v>
      </c>
      <c r="M270">
        <v>4</v>
      </c>
    </row>
    <row r="271" spans="1:13" x14ac:dyDescent="0.25">
      <c r="A271" t="s">
        <v>240</v>
      </c>
      <c r="B271" t="s">
        <v>241</v>
      </c>
      <c r="C271" t="s">
        <v>242</v>
      </c>
      <c r="D271" t="s">
        <v>20</v>
      </c>
      <c r="E271" t="s">
        <v>53</v>
      </c>
      <c r="F271" t="s">
        <v>54</v>
      </c>
      <c r="G271" t="s">
        <v>54</v>
      </c>
      <c r="H271" t="s">
        <v>253</v>
      </c>
      <c r="I271" t="s">
        <v>254</v>
      </c>
      <c r="M271">
        <v>5</v>
      </c>
    </row>
    <row r="272" spans="1:13" x14ac:dyDescent="0.25">
      <c r="A272" t="s">
        <v>240</v>
      </c>
      <c r="B272" t="s">
        <v>241</v>
      </c>
      <c r="C272" t="s">
        <v>242</v>
      </c>
      <c r="D272" t="s">
        <v>20</v>
      </c>
      <c r="E272" t="s">
        <v>53</v>
      </c>
      <c r="F272" t="s">
        <v>54</v>
      </c>
      <c r="G272" t="s">
        <v>54</v>
      </c>
      <c r="H272" t="s">
        <v>89</v>
      </c>
      <c r="I272" t="s">
        <v>90</v>
      </c>
      <c r="M272">
        <v>6</v>
      </c>
    </row>
    <row r="273" spans="1:13" x14ac:dyDescent="0.25">
      <c r="A273" t="s">
        <v>240</v>
      </c>
      <c r="B273" t="s">
        <v>241</v>
      </c>
      <c r="C273" t="s">
        <v>242</v>
      </c>
      <c r="D273" t="s">
        <v>20</v>
      </c>
      <c r="E273" t="s">
        <v>53</v>
      </c>
      <c r="F273" t="s">
        <v>54</v>
      </c>
      <c r="G273" t="s">
        <v>54</v>
      </c>
      <c r="H273" t="s">
        <v>262</v>
      </c>
      <c r="I273" t="s">
        <v>263</v>
      </c>
      <c r="M273">
        <v>7</v>
      </c>
    </row>
    <row r="274" spans="1:13" x14ac:dyDescent="0.25">
      <c r="A274" t="s">
        <v>240</v>
      </c>
      <c r="B274" t="s">
        <v>241</v>
      </c>
      <c r="C274" t="s">
        <v>242</v>
      </c>
      <c r="D274" t="s">
        <v>20</v>
      </c>
      <c r="E274" t="s">
        <v>53</v>
      </c>
      <c r="F274" t="s">
        <v>54</v>
      </c>
      <c r="G274" t="s">
        <v>54</v>
      </c>
      <c r="H274" t="s">
        <v>264</v>
      </c>
      <c r="I274" t="s">
        <v>265</v>
      </c>
      <c r="M274">
        <v>8</v>
      </c>
    </row>
    <row r="275" spans="1:13" x14ac:dyDescent="0.25">
      <c r="A275" t="s">
        <v>240</v>
      </c>
      <c r="B275" t="s">
        <v>241</v>
      </c>
      <c r="C275" t="s">
        <v>242</v>
      </c>
      <c r="D275" t="s">
        <v>20</v>
      </c>
      <c r="E275" t="s">
        <v>53</v>
      </c>
      <c r="F275" t="s">
        <v>54</v>
      </c>
      <c r="G275" t="s">
        <v>54</v>
      </c>
      <c r="H275" t="s">
        <v>248</v>
      </c>
      <c r="I275" t="s">
        <v>249</v>
      </c>
      <c r="M275">
        <v>9</v>
      </c>
    </row>
    <row r="276" spans="1:13" x14ac:dyDescent="0.25">
      <c r="A276" t="s">
        <v>240</v>
      </c>
      <c r="B276" t="s">
        <v>241</v>
      </c>
      <c r="C276" t="s">
        <v>242</v>
      </c>
      <c r="D276" t="s">
        <v>20</v>
      </c>
      <c r="E276" t="s">
        <v>53</v>
      </c>
      <c r="F276" t="s">
        <v>54</v>
      </c>
      <c r="G276" t="s">
        <v>54</v>
      </c>
      <c r="H276" t="s">
        <v>266</v>
      </c>
      <c r="I276" t="s">
        <v>194</v>
      </c>
      <c r="M276">
        <v>10</v>
      </c>
    </row>
    <row r="277" spans="1:13" x14ac:dyDescent="0.25">
      <c r="A277" t="s">
        <v>170</v>
      </c>
      <c r="B277" t="s">
        <v>171</v>
      </c>
      <c r="C277" t="s">
        <v>172</v>
      </c>
      <c r="D277" t="s">
        <v>20</v>
      </c>
      <c r="E277" t="s">
        <v>53</v>
      </c>
      <c r="F277" t="s">
        <v>54</v>
      </c>
      <c r="G277" t="s">
        <v>54</v>
      </c>
      <c r="H277" t="s">
        <v>204</v>
      </c>
      <c r="I277" t="s">
        <v>205</v>
      </c>
      <c r="M277">
        <v>1</v>
      </c>
    </row>
    <row r="278" spans="1:13" x14ac:dyDescent="0.25">
      <c r="A278" t="s">
        <v>170</v>
      </c>
      <c r="B278" t="s">
        <v>171</v>
      </c>
      <c r="C278" t="s">
        <v>172</v>
      </c>
      <c r="D278" t="s">
        <v>20</v>
      </c>
      <c r="E278" t="s">
        <v>53</v>
      </c>
      <c r="F278" t="s">
        <v>54</v>
      </c>
      <c r="G278" t="s">
        <v>54</v>
      </c>
      <c r="H278" t="s">
        <v>206</v>
      </c>
      <c r="I278" t="s">
        <v>60</v>
      </c>
      <c r="M278">
        <v>2</v>
      </c>
    </row>
    <row r="279" spans="1:13" x14ac:dyDescent="0.25">
      <c r="A279" t="s">
        <v>170</v>
      </c>
      <c r="B279" t="s">
        <v>171</v>
      </c>
      <c r="C279" t="s">
        <v>172</v>
      </c>
      <c r="D279" t="s">
        <v>20</v>
      </c>
      <c r="E279" t="s">
        <v>53</v>
      </c>
      <c r="F279" t="s">
        <v>54</v>
      </c>
      <c r="G279" t="s">
        <v>54</v>
      </c>
      <c r="H279" t="s">
        <v>34</v>
      </c>
      <c r="I279" t="s">
        <v>35</v>
      </c>
      <c r="M279">
        <v>3</v>
      </c>
    </row>
    <row r="280" spans="1:13" x14ac:dyDescent="0.25">
      <c r="A280" t="s">
        <v>170</v>
      </c>
      <c r="B280" t="s">
        <v>171</v>
      </c>
      <c r="C280" t="s">
        <v>172</v>
      </c>
      <c r="D280" t="s">
        <v>20</v>
      </c>
      <c r="E280" t="s">
        <v>53</v>
      </c>
      <c r="F280" t="s">
        <v>54</v>
      </c>
      <c r="G280" t="s">
        <v>54</v>
      </c>
      <c r="H280" t="s">
        <v>207</v>
      </c>
      <c r="I280" t="s">
        <v>208</v>
      </c>
      <c r="M280">
        <v>4</v>
      </c>
    </row>
    <row r="281" spans="1:13" x14ac:dyDescent="0.25">
      <c r="A281" t="s">
        <v>170</v>
      </c>
      <c r="B281" t="s">
        <v>171</v>
      </c>
      <c r="C281" t="s">
        <v>172</v>
      </c>
      <c r="D281" t="s">
        <v>20</v>
      </c>
      <c r="E281" t="s">
        <v>53</v>
      </c>
      <c r="F281" t="s">
        <v>54</v>
      </c>
      <c r="G281" t="s">
        <v>54</v>
      </c>
      <c r="H281" t="s">
        <v>209</v>
      </c>
      <c r="I281" t="s">
        <v>210</v>
      </c>
      <c r="M281">
        <v>5</v>
      </c>
    </row>
    <row r="282" spans="1:13" x14ac:dyDescent="0.25">
      <c r="A282" t="s">
        <v>170</v>
      </c>
      <c r="B282" t="s">
        <v>171</v>
      </c>
      <c r="C282" t="s">
        <v>172</v>
      </c>
      <c r="D282" t="s">
        <v>20</v>
      </c>
      <c r="E282" t="s">
        <v>53</v>
      </c>
      <c r="F282" t="s">
        <v>54</v>
      </c>
      <c r="G282" t="s">
        <v>54</v>
      </c>
      <c r="H282" t="s">
        <v>197</v>
      </c>
      <c r="I282" t="s">
        <v>198</v>
      </c>
      <c r="M282">
        <v>6</v>
      </c>
    </row>
    <row r="283" spans="1:13" x14ac:dyDescent="0.25">
      <c r="A283" t="s">
        <v>170</v>
      </c>
      <c r="B283" t="s">
        <v>171</v>
      </c>
      <c r="C283" t="s">
        <v>172</v>
      </c>
      <c r="D283" t="s">
        <v>20</v>
      </c>
      <c r="E283" t="s">
        <v>53</v>
      </c>
      <c r="F283" t="s">
        <v>54</v>
      </c>
      <c r="G283" t="s">
        <v>54</v>
      </c>
      <c r="H283" t="s">
        <v>195</v>
      </c>
      <c r="I283" t="s">
        <v>196</v>
      </c>
      <c r="M283">
        <v>7</v>
      </c>
    </row>
    <row r="284" spans="1:13" x14ac:dyDescent="0.25">
      <c r="A284" t="s">
        <v>170</v>
      </c>
      <c r="B284" t="s">
        <v>171</v>
      </c>
      <c r="C284" t="s">
        <v>172</v>
      </c>
      <c r="D284" t="s">
        <v>20</v>
      </c>
      <c r="E284" t="s">
        <v>53</v>
      </c>
      <c r="F284" t="s">
        <v>54</v>
      </c>
      <c r="G284" t="s">
        <v>54</v>
      </c>
      <c r="H284" t="s">
        <v>42</v>
      </c>
      <c r="I284" t="s">
        <v>43</v>
      </c>
      <c r="M284">
        <v>8</v>
      </c>
    </row>
    <row r="285" spans="1:13" x14ac:dyDescent="0.25">
      <c r="A285" t="s">
        <v>170</v>
      </c>
      <c r="B285" t="s">
        <v>171</v>
      </c>
      <c r="C285" t="s">
        <v>172</v>
      </c>
      <c r="D285" t="s">
        <v>20</v>
      </c>
      <c r="E285" t="s">
        <v>53</v>
      </c>
      <c r="F285" t="s">
        <v>54</v>
      </c>
      <c r="G285" t="s">
        <v>54</v>
      </c>
      <c r="H285" t="s">
        <v>55</v>
      </c>
      <c r="I285" t="s">
        <v>56</v>
      </c>
      <c r="M285">
        <v>9</v>
      </c>
    </row>
    <row r="286" spans="1:13" x14ac:dyDescent="0.25">
      <c r="A286" t="s">
        <v>170</v>
      </c>
      <c r="B286" t="s">
        <v>171</v>
      </c>
      <c r="C286" t="s">
        <v>172</v>
      </c>
      <c r="D286" t="s">
        <v>20</v>
      </c>
      <c r="E286" t="s">
        <v>53</v>
      </c>
      <c r="F286" t="s">
        <v>54</v>
      </c>
      <c r="G286" t="s">
        <v>54</v>
      </c>
      <c r="H286" t="s">
        <v>211</v>
      </c>
      <c r="I286" t="s">
        <v>212</v>
      </c>
      <c r="M286">
        <v>10</v>
      </c>
    </row>
    <row r="287" spans="1:13" x14ac:dyDescent="0.25">
      <c r="A287" t="s">
        <v>618</v>
      </c>
      <c r="B287" t="s">
        <v>619</v>
      </c>
      <c r="C287" t="s">
        <v>620</v>
      </c>
      <c r="D287" t="s">
        <v>20</v>
      </c>
      <c r="E287" t="s">
        <v>53</v>
      </c>
      <c r="F287" t="s">
        <v>54</v>
      </c>
      <c r="G287" t="s">
        <v>54</v>
      </c>
      <c r="H287" t="s">
        <v>193</v>
      </c>
      <c r="I287" t="s">
        <v>194</v>
      </c>
      <c r="M287">
        <v>1</v>
      </c>
    </row>
    <row r="288" spans="1:13" x14ac:dyDescent="0.25">
      <c r="A288" t="s">
        <v>618</v>
      </c>
      <c r="B288" t="s">
        <v>619</v>
      </c>
      <c r="C288" t="s">
        <v>620</v>
      </c>
      <c r="D288" t="s">
        <v>20</v>
      </c>
      <c r="E288" t="s">
        <v>53</v>
      </c>
      <c r="F288" t="s">
        <v>54</v>
      </c>
      <c r="G288" t="s">
        <v>54</v>
      </c>
      <c r="H288" t="s">
        <v>547</v>
      </c>
      <c r="I288" t="s">
        <v>221</v>
      </c>
      <c r="M288">
        <v>3</v>
      </c>
    </row>
    <row r="289" spans="1:13" x14ac:dyDescent="0.25">
      <c r="A289" t="s">
        <v>618</v>
      </c>
      <c r="B289" t="s">
        <v>619</v>
      </c>
      <c r="C289" t="s">
        <v>620</v>
      </c>
      <c r="D289" t="s">
        <v>20</v>
      </c>
      <c r="E289" t="s">
        <v>53</v>
      </c>
      <c r="F289" t="s">
        <v>54</v>
      </c>
      <c r="G289" t="s">
        <v>54</v>
      </c>
      <c r="H289" t="s">
        <v>547</v>
      </c>
      <c r="I289" t="s">
        <v>220</v>
      </c>
      <c r="M289">
        <v>3</v>
      </c>
    </row>
    <row r="290" spans="1:13" x14ac:dyDescent="0.25">
      <c r="A290" t="s">
        <v>618</v>
      </c>
      <c r="B290" t="s">
        <v>619</v>
      </c>
      <c r="C290" t="s">
        <v>620</v>
      </c>
      <c r="D290" t="s">
        <v>20</v>
      </c>
      <c r="E290" t="s">
        <v>53</v>
      </c>
      <c r="F290" t="s">
        <v>54</v>
      </c>
      <c r="G290" t="s">
        <v>54</v>
      </c>
      <c r="H290" t="s">
        <v>204</v>
      </c>
      <c r="I290" t="s">
        <v>205</v>
      </c>
      <c r="M290">
        <v>5</v>
      </c>
    </row>
    <row r="291" spans="1:13" x14ac:dyDescent="0.25">
      <c r="A291" t="s">
        <v>618</v>
      </c>
      <c r="B291" t="s">
        <v>619</v>
      </c>
      <c r="C291" t="s">
        <v>620</v>
      </c>
      <c r="D291" t="s">
        <v>20</v>
      </c>
      <c r="E291" t="s">
        <v>53</v>
      </c>
      <c r="F291" t="s">
        <v>54</v>
      </c>
      <c r="G291" t="s">
        <v>54</v>
      </c>
      <c r="H291" t="s">
        <v>211</v>
      </c>
      <c r="I291" t="s">
        <v>212</v>
      </c>
      <c r="M291">
        <v>6</v>
      </c>
    </row>
    <row r="292" spans="1:13" x14ac:dyDescent="0.25">
      <c r="A292" t="s">
        <v>618</v>
      </c>
      <c r="B292" t="s">
        <v>619</v>
      </c>
      <c r="C292" t="s">
        <v>620</v>
      </c>
      <c r="D292" t="s">
        <v>20</v>
      </c>
      <c r="E292" t="s">
        <v>53</v>
      </c>
      <c r="F292" t="s">
        <v>54</v>
      </c>
      <c r="G292" t="s">
        <v>54</v>
      </c>
      <c r="H292" t="s">
        <v>609</v>
      </c>
      <c r="I292" t="s">
        <v>610</v>
      </c>
      <c r="M292">
        <v>7</v>
      </c>
    </row>
    <row r="293" spans="1:13" x14ac:dyDescent="0.25">
      <c r="A293" t="s">
        <v>618</v>
      </c>
      <c r="B293" t="s">
        <v>619</v>
      </c>
      <c r="C293" t="s">
        <v>620</v>
      </c>
      <c r="D293" t="s">
        <v>20</v>
      </c>
      <c r="E293" t="s">
        <v>53</v>
      </c>
      <c r="F293" t="s">
        <v>54</v>
      </c>
      <c r="G293" t="s">
        <v>54</v>
      </c>
      <c r="H293" t="s">
        <v>621</v>
      </c>
      <c r="I293" t="s">
        <v>622</v>
      </c>
      <c r="M293">
        <v>8</v>
      </c>
    </row>
    <row r="294" spans="1:13" x14ac:dyDescent="0.25">
      <c r="A294" t="s">
        <v>618</v>
      </c>
      <c r="B294" t="s">
        <v>619</v>
      </c>
      <c r="C294" t="s">
        <v>620</v>
      </c>
      <c r="D294" t="s">
        <v>20</v>
      </c>
      <c r="E294" t="s">
        <v>53</v>
      </c>
      <c r="F294" t="s">
        <v>54</v>
      </c>
      <c r="G294" t="s">
        <v>54</v>
      </c>
      <c r="H294" t="s">
        <v>623</v>
      </c>
      <c r="I294" t="s">
        <v>624</v>
      </c>
      <c r="M294">
        <v>9</v>
      </c>
    </row>
    <row r="295" spans="1:13" x14ac:dyDescent="0.25">
      <c r="A295" t="s">
        <v>618</v>
      </c>
      <c r="B295" t="s">
        <v>619</v>
      </c>
      <c r="C295" t="s">
        <v>620</v>
      </c>
      <c r="D295" t="s">
        <v>20</v>
      </c>
      <c r="E295" t="s">
        <v>53</v>
      </c>
      <c r="F295" t="s">
        <v>54</v>
      </c>
      <c r="G295" t="s">
        <v>54</v>
      </c>
      <c r="H295" t="s">
        <v>233</v>
      </c>
      <c r="I295" t="s">
        <v>234</v>
      </c>
      <c r="M295">
        <v>10</v>
      </c>
    </row>
    <row r="296" spans="1:13" x14ac:dyDescent="0.25">
      <c r="A296" t="s">
        <v>530</v>
      </c>
      <c r="B296" t="s">
        <v>531</v>
      </c>
      <c r="C296" t="s">
        <v>532</v>
      </c>
      <c r="D296" t="s">
        <v>20</v>
      </c>
      <c r="E296" t="s">
        <v>53</v>
      </c>
      <c r="F296" t="s">
        <v>54</v>
      </c>
      <c r="G296" t="s">
        <v>54</v>
      </c>
      <c r="H296" t="s">
        <v>89</v>
      </c>
      <c r="I296" t="s">
        <v>90</v>
      </c>
      <c r="M296">
        <v>1</v>
      </c>
    </row>
    <row r="297" spans="1:13" x14ac:dyDescent="0.25">
      <c r="A297" t="s">
        <v>530</v>
      </c>
      <c r="B297" t="s">
        <v>531</v>
      </c>
      <c r="C297" t="s">
        <v>532</v>
      </c>
      <c r="D297" t="s">
        <v>20</v>
      </c>
      <c r="E297" t="s">
        <v>53</v>
      </c>
      <c r="F297" t="s">
        <v>54</v>
      </c>
      <c r="G297" t="s">
        <v>54</v>
      </c>
      <c r="H297" t="s">
        <v>548</v>
      </c>
      <c r="I297" t="s">
        <v>234</v>
      </c>
      <c r="M297">
        <v>2</v>
      </c>
    </row>
    <row r="298" spans="1:13" x14ac:dyDescent="0.25">
      <c r="A298" t="s">
        <v>530</v>
      </c>
      <c r="B298" t="s">
        <v>531</v>
      </c>
      <c r="C298" t="s">
        <v>532</v>
      </c>
      <c r="D298" t="s">
        <v>20</v>
      </c>
      <c r="E298" t="s">
        <v>53</v>
      </c>
      <c r="F298" t="s">
        <v>54</v>
      </c>
      <c r="G298" t="s">
        <v>54</v>
      </c>
      <c r="H298" t="s">
        <v>136</v>
      </c>
      <c r="I298" t="s">
        <v>137</v>
      </c>
      <c r="M298">
        <v>4</v>
      </c>
    </row>
    <row r="299" spans="1:13" x14ac:dyDescent="0.25">
      <c r="A299" t="s">
        <v>530</v>
      </c>
      <c r="B299" t="s">
        <v>531</v>
      </c>
      <c r="C299" t="s">
        <v>532</v>
      </c>
      <c r="D299" t="s">
        <v>20</v>
      </c>
      <c r="E299" t="s">
        <v>53</v>
      </c>
      <c r="F299" t="s">
        <v>54</v>
      </c>
      <c r="G299" t="s">
        <v>54</v>
      </c>
      <c r="H299" t="s">
        <v>101</v>
      </c>
      <c r="I299" t="s">
        <v>102</v>
      </c>
      <c r="M299">
        <v>5</v>
      </c>
    </row>
    <row r="300" spans="1:13" x14ac:dyDescent="0.25">
      <c r="A300" t="s">
        <v>530</v>
      </c>
      <c r="B300" t="s">
        <v>531</v>
      </c>
      <c r="C300" t="s">
        <v>532</v>
      </c>
      <c r="D300" t="s">
        <v>20</v>
      </c>
      <c r="E300" t="s">
        <v>53</v>
      </c>
      <c r="F300" t="s">
        <v>54</v>
      </c>
      <c r="G300" t="s">
        <v>54</v>
      </c>
      <c r="H300" t="s">
        <v>550</v>
      </c>
      <c r="I300" t="s">
        <v>551</v>
      </c>
      <c r="M300">
        <v>7</v>
      </c>
    </row>
    <row r="301" spans="1:13" x14ac:dyDescent="0.25">
      <c r="A301" t="s">
        <v>530</v>
      </c>
      <c r="B301" t="s">
        <v>531</v>
      </c>
      <c r="C301" t="s">
        <v>532</v>
      </c>
      <c r="D301" t="s">
        <v>20</v>
      </c>
      <c r="E301" t="s">
        <v>53</v>
      </c>
      <c r="F301" t="s">
        <v>54</v>
      </c>
      <c r="G301" t="s">
        <v>54</v>
      </c>
      <c r="H301" t="s">
        <v>182</v>
      </c>
      <c r="I301" t="s">
        <v>183</v>
      </c>
      <c r="M301">
        <v>9</v>
      </c>
    </row>
    <row r="302" spans="1:13" x14ac:dyDescent="0.25">
      <c r="A302" t="s">
        <v>530</v>
      </c>
      <c r="B302" t="s">
        <v>531</v>
      </c>
      <c r="C302" t="s">
        <v>532</v>
      </c>
      <c r="D302" t="s">
        <v>20</v>
      </c>
      <c r="E302" t="s">
        <v>53</v>
      </c>
      <c r="F302" t="s">
        <v>54</v>
      </c>
      <c r="G302" t="s">
        <v>54</v>
      </c>
      <c r="H302" t="s">
        <v>207</v>
      </c>
      <c r="I302" t="s">
        <v>208</v>
      </c>
      <c r="M302">
        <v>10</v>
      </c>
    </row>
    <row r="303" spans="1:13" x14ac:dyDescent="0.25">
      <c r="A303" t="s">
        <v>109</v>
      </c>
      <c r="B303" t="s">
        <v>110</v>
      </c>
      <c r="C303" t="s">
        <v>111</v>
      </c>
      <c r="D303" t="s">
        <v>20</v>
      </c>
      <c r="E303" t="s">
        <v>53</v>
      </c>
      <c r="F303" t="s">
        <v>54</v>
      </c>
      <c r="G303" t="s">
        <v>54</v>
      </c>
      <c r="H303" t="s">
        <v>136</v>
      </c>
      <c r="I303" t="s">
        <v>137</v>
      </c>
      <c r="M303">
        <v>2</v>
      </c>
    </row>
    <row r="304" spans="1:13" x14ac:dyDescent="0.25">
      <c r="A304" t="s">
        <v>109</v>
      </c>
      <c r="B304" t="s">
        <v>110</v>
      </c>
      <c r="C304" t="s">
        <v>111</v>
      </c>
      <c r="D304" t="s">
        <v>20</v>
      </c>
      <c r="E304" t="s">
        <v>53</v>
      </c>
      <c r="F304" t="s">
        <v>54</v>
      </c>
      <c r="G304" t="s">
        <v>54</v>
      </c>
      <c r="H304" t="s">
        <v>138</v>
      </c>
      <c r="I304" t="s">
        <v>139</v>
      </c>
      <c r="M304">
        <v>23</v>
      </c>
    </row>
    <row r="305" spans="1:13" x14ac:dyDescent="0.25">
      <c r="A305" t="s">
        <v>109</v>
      </c>
      <c r="B305" t="s">
        <v>110</v>
      </c>
      <c r="C305" t="s">
        <v>111</v>
      </c>
      <c r="D305" t="s">
        <v>20</v>
      </c>
      <c r="E305" t="s">
        <v>53</v>
      </c>
      <c r="F305" t="s">
        <v>54</v>
      </c>
      <c r="G305" t="s">
        <v>54</v>
      </c>
      <c r="H305" t="s">
        <v>140</v>
      </c>
      <c r="I305" t="s">
        <v>141</v>
      </c>
      <c r="M305">
        <v>24</v>
      </c>
    </row>
    <row r="306" spans="1:13" x14ac:dyDescent="0.25">
      <c r="A306" t="s">
        <v>109</v>
      </c>
      <c r="B306" t="s">
        <v>110</v>
      </c>
      <c r="C306" t="s">
        <v>111</v>
      </c>
      <c r="D306" t="s">
        <v>20</v>
      </c>
      <c r="E306" t="s">
        <v>53</v>
      </c>
      <c r="F306" t="s">
        <v>54</v>
      </c>
      <c r="G306" t="s">
        <v>54</v>
      </c>
      <c r="H306" t="s">
        <v>142</v>
      </c>
      <c r="I306" t="s">
        <v>143</v>
      </c>
      <c r="M306">
        <v>25</v>
      </c>
    </row>
    <row r="307" spans="1:13" x14ac:dyDescent="0.25">
      <c r="A307" t="s">
        <v>109</v>
      </c>
      <c r="B307" t="s">
        <v>110</v>
      </c>
      <c r="C307" t="s">
        <v>111</v>
      </c>
      <c r="D307" t="s">
        <v>20</v>
      </c>
      <c r="E307" t="s">
        <v>53</v>
      </c>
      <c r="F307" t="s">
        <v>54</v>
      </c>
      <c r="G307" t="s">
        <v>54</v>
      </c>
      <c r="H307" t="s">
        <v>144</v>
      </c>
      <c r="I307" t="s">
        <v>145</v>
      </c>
      <c r="M307">
        <v>26</v>
      </c>
    </row>
    <row r="308" spans="1:13" x14ac:dyDescent="0.25">
      <c r="A308" t="s">
        <v>109</v>
      </c>
      <c r="B308" t="s">
        <v>110</v>
      </c>
      <c r="C308" t="s">
        <v>111</v>
      </c>
      <c r="D308" t="s">
        <v>20</v>
      </c>
      <c r="E308" t="s">
        <v>53</v>
      </c>
      <c r="F308" t="s">
        <v>54</v>
      </c>
      <c r="G308" t="s">
        <v>54</v>
      </c>
      <c r="H308" t="s">
        <v>146</v>
      </c>
      <c r="I308" t="s">
        <v>147</v>
      </c>
      <c r="M308">
        <v>27</v>
      </c>
    </row>
    <row r="309" spans="1:13" x14ac:dyDescent="0.25">
      <c r="A309" t="s">
        <v>109</v>
      </c>
      <c r="B309" t="s">
        <v>110</v>
      </c>
      <c r="C309" t="s">
        <v>111</v>
      </c>
      <c r="D309" t="s">
        <v>20</v>
      </c>
      <c r="E309" t="s">
        <v>53</v>
      </c>
      <c r="F309" t="s">
        <v>54</v>
      </c>
      <c r="G309" t="s">
        <v>54</v>
      </c>
      <c r="H309" t="s">
        <v>148</v>
      </c>
      <c r="I309" t="s">
        <v>149</v>
      </c>
      <c r="M309">
        <v>28</v>
      </c>
    </row>
    <row r="310" spans="1:13" x14ac:dyDescent="0.25">
      <c r="A310" t="s">
        <v>109</v>
      </c>
      <c r="B310" t="s">
        <v>110</v>
      </c>
      <c r="C310" t="s">
        <v>111</v>
      </c>
      <c r="D310" t="s">
        <v>20</v>
      </c>
      <c r="E310" t="s">
        <v>53</v>
      </c>
      <c r="F310" t="s">
        <v>54</v>
      </c>
      <c r="G310" t="s">
        <v>54</v>
      </c>
      <c r="H310" t="s">
        <v>150</v>
      </c>
      <c r="I310" t="s">
        <v>102</v>
      </c>
      <c r="M310">
        <v>67</v>
      </c>
    </row>
    <row r="311" spans="1:13" x14ac:dyDescent="0.25">
      <c r="A311" t="s">
        <v>887</v>
      </c>
      <c r="B311" t="s">
        <v>888</v>
      </c>
      <c r="C311" t="s">
        <v>889</v>
      </c>
      <c r="D311" t="s">
        <v>20</v>
      </c>
      <c r="E311" t="s">
        <v>53</v>
      </c>
      <c r="F311" t="s">
        <v>54</v>
      </c>
      <c r="G311" t="s">
        <v>54</v>
      </c>
      <c r="H311" t="s">
        <v>204</v>
      </c>
      <c r="I311" t="s">
        <v>205</v>
      </c>
      <c r="M311">
        <v>1</v>
      </c>
    </row>
    <row r="312" spans="1:13" x14ac:dyDescent="0.25">
      <c r="A312" t="s">
        <v>887</v>
      </c>
      <c r="B312" t="s">
        <v>888</v>
      </c>
      <c r="C312" t="s">
        <v>889</v>
      </c>
      <c r="D312" t="s">
        <v>20</v>
      </c>
      <c r="E312" t="s">
        <v>53</v>
      </c>
      <c r="F312" t="s">
        <v>54</v>
      </c>
      <c r="G312" t="s">
        <v>54</v>
      </c>
      <c r="H312" t="s">
        <v>255</v>
      </c>
      <c r="I312" t="s">
        <v>256</v>
      </c>
      <c r="M312">
        <v>3</v>
      </c>
    </row>
    <row r="313" spans="1:13" x14ac:dyDescent="0.25">
      <c r="A313" t="s">
        <v>887</v>
      </c>
      <c r="B313" t="s">
        <v>888</v>
      </c>
      <c r="C313" t="s">
        <v>889</v>
      </c>
      <c r="D313" t="s">
        <v>20</v>
      </c>
      <c r="E313" t="s">
        <v>53</v>
      </c>
      <c r="F313" t="s">
        <v>54</v>
      </c>
      <c r="G313" t="s">
        <v>54</v>
      </c>
      <c r="H313" t="s">
        <v>36</v>
      </c>
      <c r="I313" t="s">
        <v>37</v>
      </c>
      <c r="M313">
        <v>4</v>
      </c>
    </row>
    <row r="314" spans="1:13" x14ac:dyDescent="0.25">
      <c r="A314" t="s">
        <v>887</v>
      </c>
      <c r="B314" t="s">
        <v>888</v>
      </c>
      <c r="C314" t="s">
        <v>889</v>
      </c>
      <c r="D314" t="s">
        <v>20</v>
      </c>
      <c r="E314" t="s">
        <v>53</v>
      </c>
      <c r="F314" t="s">
        <v>54</v>
      </c>
      <c r="G314" t="s">
        <v>54</v>
      </c>
      <c r="H314" t="s">
        <v>896</v>
      </c>
      <c r="I314" t="s">
        <v>897</v>
      </c>
      <c r="M314">
        <v>5</v>
      </c>
    </row>
    <row r="315" spans="1:13" x14ac:dyDescent="0.25">
      <c r="A315" t="s">
        <v>887</v>
      </c>
      <c r="B315" t="s">
        <v>888</v>
      </c>
      <c r="C315" t="s">
        <v>889</v>
      </c>
      <c r="D315" t="s">
        <v>20</v>
      </c>
      <c r="E315" t="s">
        <v>53</v>
      </c>
      <c r="F315" t="s">
        <v>54</v>
      </c>
      <c r="G315" t="s">
        <v>54</v>
      </c>
      <c r="H315" t="s">
        <v>898</v>
      </c>
      <c r="I315" t="s">
        <v>899</v>
      </c>
      <c r="M315">
        <v>6</v>
      </c>
    </row>
    <row r="316" spans="1:13" x14ac:dyDescent="0.25">
      <c r="A316" t="s">
        <v>887</v>
      </c>
      <c r="B316" t="s">
        <v>888</v>
      </c>
      <c r="C316" t="s">
        <v>889</v>
      </c>
      <c r="D316" t="s">
        <v>20</v>
      </c>
      <c r="E316" t="s">
        <v>53</v>
      </c>
      <c r="F316" t="s">
        <v>54</v>
      </c>
      <c r="G316" t="s">
        <v>54</v>
      </c>
      <c r="H316" t="s">
        <v>848</v>
      </c>
      <c r="I316" t="s">
        <v>849</v>
      </c>
      <c r="M316">
        <v>7</v>
      </c>
    </row>
    <row r="317" spans="1:13" x14ac:dyDescent="0.25">
      <c r="A317" t="s">
        <v>887</v>
      </c>
      <c r="B317" t="s">
        <v>888</v>
      </c>
      <c r="C317" t="s">
        <v>889</v>
      </c>
      <c r="D317" t="s">
        <v>20</v>
      </c>
      <c r="E317" t="s">
        <v>53</v>
      </c>
      <c r="F317" t="s">
        <v>54</v>
      </c>
      <c r="G317" t="s">
        <v>54</v>
      </c>
      <c r="H317" t="s">
        <v>34</v>
      </c>
      <c r="I317" t="s">
        <v>35</v>
      </c>
      <c r="M317">
        <v>8</v>
      </c>
    </row>
    <row r="318" spans="1:13" x14ac:dyDescent="0.25">
      <c r="A318" t="s">
        <v>887</v>
      </c>
      <c r="B318" t="s">
        <v>888</v>
      </c>
      <c r="C318" t="s">
        <v>889</v>
      </c>
      <c r="D318" t="s">
        <v>20</v>
      </c>
      <c r="E318" t="s">
        <v>53</v>
      </c>
      <c r="F318" t="s">
        <v>54</v>
      </c>
      <c r="G318" t="s">
        <v>54</v>
      </c>
      <c r="H318" t="s">
        <v>206</v>
      </c>
      <c r="I318" t="s">
        <v>60</v>
      </c>
      <c r="M318">
        <v>9</v>
      </c>
    </row>
    <row r="319" spans="1:13" x14ac:dyDescent="0.25">
      <c r="A319" t="s">
        <v>887</v>
      </c>
      <c r="B319" t="s">
        <v>888</v>
      </c>
      <c r="C319" t="s">
        <v>889</v>
      </c>
      <c r="D319" t="s">
        <v>20</v>
      </c>
      <c r="E319" t="s">
        <v>53</v>
      </c>
      <c r="F319" t="s">
        <v>54</v>
      </c>
      <c r="G319" t="s">
        <v>54</v>
      </c>
      <c r="H319" t="s">
        <v>900</v>
      </c>
      <c r="I319" t="s">
        <v>901</v>
      </c>
      <c r="M319">
        <v>10</v>
      </c>
    </row>
    <row r="320" spans="1:13" x14ac:dyDescent="0.25">
      <c r="A320" t="s">
        <v>909</v>
      </c>
      <c r="B320" t="s">
        <v>910</v>
      </c>
      <c r="C320" t="s">
        <v>911</v>
      </c>
      <c r="D320" t="s">
        <v>20</v>
      </c>
      <c r="E320" t="s">
        <v>53</v>
      </c>
      <c r="F320" t="s">
        <v>54</v>
      </c>
      <c r="G320" t="s">
        <v>54</v>
      </c>
      <c r="H320" t="s">
        <v>204</v>
      </c>
      <c r="I320" t="s">
        <v>205</v>
      </c>
      <c r="M320">
        <v>1</v>
      </c>
    </row>
    <row r="321" spans="1:13" x14ac:dyDescent="0.25">
      <c r="A321" t="s">
        <v>909</v>
      </c>
      <c r="B321" t="s">
        <v>910</v>
      </c>
      <c r="C321" t="s">
        <v>911</v>
      </c>
      <c r="D321" t="s">
        <v>20</v>
      </c>
      <c r="E321" t="s">
        <v>53</v>
      </c>
      <c r="F321" t="s">
        <v>54</v>
      </c>
      <c r="G321" t="s">
        <v>54</v>
      </c>
      <c r="H321" t="s">
        <v>255</v>
      </c>
      <c r="I321" t="s">
        <v>256</v>
      </c>
      <c r="M321">
        <v>2</v>
      </c>
    </row>
    <row r="322" spans="1:13" x14ac:dyDescent="0.25">
      <c r="A322" t="s">
        <v>909</v>
      </c>
      <c r="B322" t="s">
        <v>910</v>
      </c>
      <c r="C322" t="s">
        <v>911</v>
      </c>
      <c r="D322" t="s">
        <v>20</v>
      </c>
      <c r="E322" t="s">
        <v>53</v>
      </c>
      <c r="F322" t="s">
        <v>54</v>
      </c>
      <c r="G322" t="s">
        <v>54</v>
      </c>
      <c r="H322" t="s">
        <v>917</v>
      </c>
      <c r="I322" t="s">
        <v>422</v>
      </c>
      <c r="M322">
        <v>3</v>
      </c>
    </row>
    <row r="323" spans="1:13" x14ac:dyDescent="0.25">
      <c r="A323" t="s">
        <v>909</v>
      </c>
      <c r="B323" t="s">
        <v>910</v>
      </c>
      <c r="C323" t="s">
        <v>911</v>
      </c>
      <c r="D323" t="s">
        <v>20</v>
      </c>
      <c r="E323" t="s">
        <v>53</v>
      </c>
      <c r="F323" t="s">
        <v>54</v>
      </c>
      <c r="G323" t="s">
        <v>54</v>
      </c>
      <c r="H323" t="s">
        <v>917</v>
      </c>
      <c r="I323" t="s">
        <v>918</v>
      </c>
      <c r="M323">
        <v>3</v>
      </c>
    </row>
    <row r="324" spans="1:13" x14ac:dyDescent="0.25">
      <c r="A324" t="s">
        <v>909</v>
      </c>
      <c r="B324" t="s">
        <v>910</v>
      </c>
      <c r="C324" t="s">
        <v>911</v>
      </c>
      <c r="D324" t="s">
        <v>20</v>
      </c>
      <c r="E324" t="s">
        <v>53</v>
      </c>
      <c r="F324" t="s">
        <v>54</v>
      </c>
      <c r="G324" t="s">
        <v>54</v>
      </c>
      <c r="H324" t="s">
        <v>318</v>
      </c>
      <c r="I324" t="s">
        <v>319</v>
      </c>
      <c r="M324">
        <v>4</v>
      </c>
    </row>
    <row r="325" spans="1:13" x14ac:dyDescent="0.25">
      <c r="A325" t="s">
        <v>909</v>
      </c>
      <c r="B325" t="s">
        <v>910</v>
      </c>
      <c r="C325" t="s">
        <v>911</v>
      </c>
      <c r="D325" t="s">
        <v>20</v>
      </c>
      <c r="E325" t="s">
        <v>53</v>
      </c>
      <c r="F325" t="s">
        <v>54</v>
      </c>
      <c r="G325" t="s">
        <v>54</v>
      </c>
      <c r="H325" t="s">
        <v>781</v>
      </c>
      <c r="I325" t="s">
        <v>782</v>
      </c>
      <c r="M325">
        <v>5</v>
      </c>
    </row>
    <row r="326" spans="1:13" x14ac:dyDescent="0.25">
      <c r="A326" t="s">
        <v>909</v>
      </c>
      <c r="B326" t="s">
        <v>910</v>
      </c>
      <c r="C326" t="s">
        <v>911</v>
      </c>
      <c r="D326" t="s">
        <v>20</v>
      </c>
      <c r="E326" t="s">
        <v>53</v>
      </c>
      <c r="F326" t="s">
        <v>54</v>
      </c>
      <c r="G326" t="s">
        <v>54</v>
      </c>
      <c r="H326" t="s">
        <v>567</v>
      </c>
      <c r="I326" t="s">
        <v>568</v>
      </c>
      <c r="M326">
        <v>6</v>
      </c>
    </row>
    <row r="327" spans="1:13" x14ac:dyDescent="0.25">
      <c r="A327" t="s">
        <v>909</v>
      </c>
      <c r="B327" t="s">
        <v>910</v>
      </c>
      <c r="C327" t="s">
        <v>911</v>
      </c>
      <c r="D327" t="s">
        <v>20</v>
      </c>
      <c r="E327" t="s">
        <v>53</v>
      </c>
      <c r="F327" t="s">
        <v>54</v>
      </c>
      <c r="G327" t="s">
        <v>54</v>
      </c>
      <c r="H327" t="s">
        <v>561</v>
      </c>
      <c r="I327" t="s">
        <v>562</v>
      </c>
      <c r="M327">
        <v>7</v>
      </c>
    </row>
    <row r="328" spans="1:13" x14ac:dyDescent="0.25">
      <c r="A328" t="s">
        <v>909</v>
      </c>
      <c r="B328" t="s">
        <v>910</v>
      </c>
      <c r="C328" t="s">
        <v>911</v>
      </c>
      <c r="D328" t="s">
        <v>20</v>
      </c>
      <c r="E328" t="s">
        <v>53</v>
      </c>
      <c r="F328" t="s">
        <v>54</v>
      </c>
      <c r="G328" t="s">
        <v>54</v>
      </c>
      <c r="H328" t="s">
        <v>211</v>
      </c>
      <c r="I328" t="s">
        <v>212</v>
      </c>
      <c r="M328">
        <v>8</v>
      </c>
    </row>
    <row r="329" spans="1:13" x14ac:dyDescent="0.25">
      <c r="A329" t="s">
        <v>909</v>
      </c>
      <c r="B329" t="s">
        <v>910</v>
      </c>
      <c r="C329" t="s">
        <v>911</v>
      </c>
      <c r="D329" t="s">
        <v>20</v>
      </c>
      <c r="E329" t="s">
        <v>53</v>
      </c>
      <c r="F329" t="s">
        <v>54</v>
      </c>
      <c r="G329" t="s">
        <v>54</v>
      </c>
      <c r="H329" t="s">
        <v>199</v>
      </c>
      <c r="I329" t="s">
        <v>200</v>
      </c>
      <c r="M329">
        <v>9</v>
      </c>
    </row>
    <row r="330" spans="1:13" x14ac:dyDescent="0.25">
      <c r="A330" t="s">
        <v>909</v>
      </c>
      <c r="B330" t="s">
        <v>910</v>
      </c>
      <c r="C330" t="s">
        <v>911</v>
      </c>
      <c r="D330" t="s">
        <v>20</v>
      </c>
      <c r="E330" t="s">
        <v>53</v>
      </c>
      <c r="F330" t="s">
        <v>54</v>
      </c>
      <c r="G330" t="s">
        <v>54</v>
      </c>
      <c r="H330" t="s">
        <v>719</v>
      </c>
      <c r="I330" t="s">
        <v>24</v>
      </c>
      <c r="M330">
        <v>10</v>
      </c>
    </row>
    <row r="331" spans="1:13" x14ac:dyDescent="0.25">
      <c r="A331" t="s">
        <v>788</v>
      </c>
      <c r="B331" t="s">
        <v>789</v>
      </c>
      <c r="C331" t="s">
        <v>790</v>
      </c>
      <c r="D331" t="s">
        <v>20</v>
      </c>
      <c r="E331" t="s">
        <v>53</v>
      </c>
      <c r="F331" t="s">
        <v>54</v>
      </c>
      <c r="G331" t="s">
        <v>54</v>
      </c>
      <c r="H331" t="s">
        <v>762</v>
      </c>
      <c r="I331" t="s">
        <v>169</v>
      </c>
      <c r="M331">
        <v>1</v>
      </c>
    </row>
    <row r="332" spans="1:13" x14ac:dyDescent="0.25">
      <c r="A332" t="s">
        <v>788</v>
      </c>
      <c r="B332" t="s">
        <v>789</v>
      </c>
      <c r="C332" t="s">
        <v>790</v>
      </c>
      <c r="D332" t="s">
        <v>20</v>
      </c>
      <c r="E332" t="s">
        <v>53</v>
      </c>
      <c r="F332" t="s">
        <v>54</v>
      </c>
      <c r="G332" t="s">
        <v>54</v>
      </c>
      <c r="H332" t="s">
        <v>206</v>
      </c>
      <c r="I332" t="s">
        <v>60</v>
      </c>
      <c r="M332">
        <v>2</v>
      </c>
    </row>
    <row r="333" spans="1:13" x14ac:dyDescent="0.25">
      <c r="A333" t="s">
        <v>788</v>
      </c>
      <c r="B333" t="s">
        <v>789</v>
      </c>
      <c r="C333" t="s">
        <v>790</v>
      </c>
      <c r="D333" t="s">
        <v>20</v>
      </c>
      <c r="E333" t="s">
        <v>53</v>
      </c>
      <c r="F333" t="s">
        <v>54</v>
      </c>
      <c r="G333" t="s">
        <v>54</v>
      </c>
      <c r="H333" t="s">
        <v>255</v>
      </c>
      <c r="I333" t="s">
        <v>256</v>
      </c>
      <c r="M333">
        <v>3</v>
      </c>
    </row>
    <row r="334" spans="1:13" x14ac:dyDescent="0.25">
      <c r="A334" t="s">
        <v>788</v>
      </c>
      <c r="B334" t="s">
        <v>789</v>
      </c>
      <c r="C334" t="s">
        <v>790</v>
      </c>
      <c r="D334" t="s">
        <v>20</v>
      </c>
      <c r="E334" t="s">
        <v>53</v>
      </c>
      <c r="F334" t="s">
        <v>54</v>
      </c>
      <c r="G334" t="s">
        <v>54</v>
      </c>
      <c r="H334" t="s">
        <v>796</v>
      </c>
      <c r="I334" t="s">
        <v>797</v>
      </c>
      <c r="M334">
        <v>4</v>
      </c>
    </row>
    <row r="335" spans="1:13" x14ac:dyDescent="0.25">
      <c r="A335" t="s">
        <v>788</v>
      </c>
      <c r="B335" t="s">
        <v>789</v>
      </c>
      <c r="C335" t="s">
        <v>790</v>
      </c>
      <c r="D335" t="s">
        <v>20</v>
      </c>
      <c r="E335" t="s">
        <v>53</v>
      </c>
      <c r="F335" t="s">
        <v>54</v>
      </c>
      <c r="G335" t="s">
        <v>54</v>
      </c>
      <c r="H335" t="s">
        <v>34</v>
      </c>
      <c r="I335" t="s">
        <v>35</v>
      </c>
      <c r="M335">
        <v>5</v>
      </c>
    </row>
    <row r="336" spans="1:13" x14ac:dyDescent="0.25">
      <c r="A336" t="s">
        <v>788</v>
      </c>
      <c r="B336" t="s">
        <v>789</v>
      </c>
      <c r="C336" t="s">
        <v>790</v>
      </c>
      <c r="D336" t="s">
        <v>20</v>
      </c>
      <c r="E336" t="s">
        <v>53</v>
      </c>
      <c r="F336" t="s">
        <v>54</v>
      </c>
      <c r="G336" t="s">
        <v>54</v>
      </c>
      <c r="H336" t="s">
        <v>89</v>
      </c>
      <c r="I336" t="s">
        <v>90</v>
      </c>
      <c r="M336">
        <v>6</v>
      </c>
    </row>
    <row r="337" spans="1:13" x14ac:dyDescent="0.25">
      <c r="A337" t="s">
        <v>788</v>
      </c>
      <c r="B337" t="s">
        <v>789</v>
      </c>
      <c r="C337" t="s">
        <v>790</v>
      </c>
      <c r="D337" t="s">
        <v>20</v>
      </c>
      <c r="E337" t="s">
        <v>53</v>
      </c>
      <c r="F337" t="s">
        <v>54</v>
      </c>
      <c r="G337" t="s">
        <v>54</v>
      </c>
      <c r="H337" t="s">
        <v>795</v>
      </c>
      <c r="I337" t="s">
        <v>342</v>
      </c>
      <c r="M337">
        <v>7</v>
      </c>
    </row>
    <row r="338" spans="1:13" x14ac:dyDescent="0.25">
      <c r="A338" t="s">
        <v>788</v>
      </c>
      <c r="B338" t="s">
        <v>789</v>
      </c>
      <c r="C338" t="s">
        <v>790</v>
      </c>
      <c r="D338" t="s">
        <v>20</v>
      </c>
      <c r="E338" t="s">
        <v>53</v>
      </c>
      <c r="F338" t="s">
        <v>54</v>
      </c>
      <c r="G338" t="s">
        <v>54</v>
      </c>
      <c r="H338" t="s">
        <v>204</v>
      </c>
      <c r="I338" t="s">
        <v>205</v>
      </c>
      <c r="M338">
        <v>8</v>
      </c>
    </row>
    <row r="339" spans="1:13" x14ac:dyDescent="0.25">
      <c r="A339" t="s">
        <v>788</v>
      </c>
      <c r="B339" t="s">
        <v>789</v>
      </c>
      <c r="C339" t="s">
        <v>790</v>
      </c>
      <c r="D339" t="s">
        <v>20</v>
      </c>
      <c r="E339" t="s">
        <v>53</v>
      </c>
      <c r="F339" t="s">
        <v>54</v>
      </c>
      <c r="G339" t="s">
        <v>54</v>
      </c>
      <c r="H339" t="s">
        <v>258</v>
      </c>
      <c r="I339" t="s">
        <v>259</v>
      </c>
      <c r="M339">
        <v>9</v>
      </c>
    </row>
    <row r="340" spans="1:13" x14ac:dyDescent="0.25">
      <c r="A340" t="s">
        <v>788</v>
      </c>
      <c r="B340" t="s">
        <v>789</v>
      </c>
      <c r="C340" t="s">
        <v>790</v>
      </c>
      <c r="D340" t="s">
        <v>20</v>
      </c>
      <c r="E340" t="s">
        <v>53</v>
      </c>
      <c r="F340" t="s">
        <v>54</v>
      </c>
      <c r="G340" t="s">
        <v>54</v>
      </c>
      <c r="H340" t="s">
        <v>103</v>
      </c>
      <c r="I340" t="s">
        <v>104</v>
      </c>
      <c r="M340">
        <v>10</v>
      </c>
    </row>
    <row r="341" spans="1:13" x14ac:dyDescent="0.25">
      <c r="A341" t="s">
        <v>625</v>
      </c>
      <c r="B341" t="s">
        <v>626</v>
      </c>
      <c r="C341" t="s">
        <v>627</v>
      </c>
      <c r="D341" t="s">
        <v>20</v>
      </c>
      <c r="E341" t="s">
        <v>53</v>
      </c>
      <c r="F341" t="s">
        <v>54</v>
      </c>
      <c r="G341" t="s">
        <v>54</v>
      </c>
      <c r="H341" t="s">
        <v>621</v>
      </c>
      <c r="I341" t="s">
        <v>622</v>
      </c>
      <c r="M341">
        <v>1</v>
      </c>
    </row>
    <row r="342" spans="1:13" x14ac:dyDescent="0.25">
      <c r="A342" t="s">
        <v>625</v>
      </c>
      <c r="B342" t="s">
        <v>626</v>
      </c>
      <c r="C342" t="s">
        <v>627</v>
      </c>
      <c r="D342" t="s">
        <v>20</v>
      </c>
      <c r="E342" t="s">
        <v>53</v>
      </c>
      <c r="F342" t="s">
        <v>54</v>
      </c>
      <c r="G342" t="s">
        <v>54</v>
      </c>
      <c r="H342" t="s">
        <v>609</v>
      </c>
      <c r="I342" t="s">
        <v>610</v>
      </c>
      <c r="M342">
        <v>3</v>
      </c>
    </row>
    <row r="343" spans="1:13" x14ac:dyDescent="0.25">
      <c r="A343" t="s">
        <v>625</v>
      </c>
      <c r="B343" t="s">
        <v>626</v>
      </c>
      <c r="C343" t="s">
        <v>627</v>
      </c>
      <c r="D343" t="s">
        <v>20</v>
      </c>
      <c r="E343" t="s">
        <v>53</v>
      </c>
      <c r="F343" t="s">
        <v>54</v>
      </c>
      <c r="G343" t="s">
        <v>54</v>
      </c>
      <c r="H343" t="s">
        <v>57</v>
      </c>
      <c r="I343" t="s">
        <v>58</v>
      </c>
      <c r="M343">
        <v>4</v>
      </c>
    </row>
    <row r="344" spans="1:13" x14ac:dyDescent="0.25">
      <c r="A344" t="s">
        <v>625</v>
      </c>
      <c r="B344" t="s">
        <v>626</v>
      </c>
      <c r="C344" t="s">
        <v>627</v>
      </c>
      <c r="D344" t="s">
        <v>20</v>
      </c>
      <c r="E344" t="s">
        <v>53</v>
      </c>
      <c r="F344" t="s">
        <v>54</v>
      </c>
      <c r="G344" t="s">
        <v>54</v>
      </c>
      <c r="H344" t="s">
        <v>643</v>
      </c>
      <c r="I344" t="s">
        <v>644</v>
      </c>
      <c r="M344">
        <v>5</v>
      </c>
    </row>
    <row r="345" spans="1:13" x14ac:dyDescent="0.25">
      <c r="A345" t="s">
        <v>625</v>
      </c>
      <c r="B345" t="s">
        <v>626</v>
      </c>
      <c r="C345" t="s">
        <v>627</v>
      </c>
      <c r="D345" t="s">
        <v>20</v>
      </c>
      <c r="E345" t="s">
        <v>53</v>
      </c>
      <c r="F345" t="s">
        <v>54</v>
      </c>
      <c r="G345" t="s">
        <v>54</v>
      </c>
      <c r="H345" t="s">
        <v>643</v>
      </c>
      <c r="I345" t="s">
        <v>645</v>
      </c>
      <c r="M345">
        <v>5</v>
      </c>
    </row>
    <row r="346" spans="1:13" x14ac:dyDescent="0.25">
      <c r="A346" t="s">
        <v>625</v>
      </c>
      <c r="B346" t="s">
        <v>626</v>
      </c>
      <c r="C346" t="s">
        <v>627</v>
      </c>
      <c r="D346" t="s">
        <v>20</v>
      </c>
      <c r="E346" t="s">
        <v>53</v>
      </c>
      <c r="F346" t="s">
        <v>54</v>
      </c>
      <c r="G346" t="s">
        <v>54</v>
      </c>
      <c r="H346" t="s">
        <v>647</v>
      </c>
      <c r="I346" t="s">
        <v>648</v>
      </c>
      <c r="M346">
        <v>7</v>
      </c>
    </row>
    <row r="347" spans="1:13" x14ac:dyDescent="0.25">
      <c r="A347" t="s">
        <v>625</v>
      </c>
      <c r="B347" t="s">
        <v>626</v>
      </c>
      <c r="C347" t="s">
        <v>627</v>
      </c>
      <c r="D347" t="s">
        <v>20</v>
      </c>
      <c r="E347" t="s">
        <v>53</v>
      </c>
      <c r="F347" t="s">
        <v>54</v>
      </c>
      <c r="G347" t="s">
        <v>54</v>
      </c>
      <c r="H347" t="s">
        <v>649</v>
      </c>
      <c r="I347" t="s">
        <v>650</v>
      </c>
      <c r="M347">
        <v>8</v>
      </c>
    </row>
    <row r="348" spans="1:13" x14ac:dyDescent="0.25">
      <c r="A348" t="s">
        <v>625</v>
      </c>
      <c r="B348" t="s">
        <v>626</v>
      </c>
      <c r="C348" t="s">
        <v>627</v>
      </c>
      <c r="D348" t="s">
        <v>20</v>
      </c>
      <c r="E348" t="s">
        <v>53</v>
      </c>
      <c r="F348" t="s">
        <v>54</v>
      </c>
      <c r="G348" t="s">
        <v>54</v>
      </c>
      <c r="H348" t="s">
        <v>42</v>
      </c>
      <c r="I348" t="s">
        <v>43</v>
      </c>
      <c r="M348">
        <v>9</v>
      </c>
    </row>
    <row r="349" spans="1:13" x14ac:dyDescent="0.25">
      <c r="A349" t="s">
        <v>625</v>
      </c>
      <c r="B349" t="s">
        <v>626</v>
      </c>
      <c r="C349" t="s">
        <v>627</v>
      </c>
      <c r="D349" t="s">
        <v>20</v>
      </c>
      <c r="E349" t="s">
        <v>53</v>
      </c>
      <c r="F349" t="s">
        <v>54</v>
      </c>
      <c r="G349" t="s">
        <v>54</v>
      </c>
      <c r="H349" t="s">
        <v>651</v>
      </c>
      <c r="I349" t="s">
        <v>652</v>
      </c>
      <c r="M349">
        <v>10</v>
      </c>
    </row>
    <row r="350" spans="1:13" x14ac:dyDescent="0.25">
      <c r="A350" t="s">
        <v>809</v>
      </c>
      <c r="B350" t="s">
        <v>810</v>
      </c>
      <c r="C350" t="s">
        <v>811</v>
      </c>
      <c r="D350" t="s">
        <v>20</v>
      </c>
      <c r="E350" t="s">
        <v>53</v>
      </c>
      <c r="F350" t="s">
        <v>54</v>
      </c>
      <c r="G350" t="s">
        <v>54</v>
      </c>
      <c r="H350" t="s">
        <v>563</v>
      </c>
      <c r="I350" t="s">
        <v>564</v>
      </c>
      <c r="M350">
        <v>1</v>
      </c>
    </row>
    <row r="351" spans="1:13" x14ac:dyDescent="0.25">
      <c r="A351" t="s">
        <v>809</v>
      </c>
      <c r="B351" t="s">
        <v>810</v>
      </c>
      <c r="C351" t="s">
        <v>811</v>
      </c>
      <c r="D351" t="s">
        <v>20</v>
      </c>
      <c r="E351" t="s">
        <v>53</v>
      </c>
      <c r="F351" t="s">
        <v>54</v>
      </c>
      <c r="G351" t="s">
        <v>54</v>
      </c>
      <c r="H351" t="s">
        <v>300</v>
      </c>
      <c r="I351" t="s">
        <v>301</v>
      </c>
      <c r="M351">
        <v>2</v>
      </c>
    </row>
    <row r="352" spans="1:13" x14ac:dyDescent="0.25">
      <c r="A352" t="s">
        <v>809</v>
      </c>
      <c r="B352" t="s">
        <v>810</v>
      </c>
      <c r="C352" t="s">
        <v>811</v>
      </c>
      <c r="D352" t="s">
        <v>20</v>
      </c>
      <c r="E352" t="s">
        <v>53</v>
      </c>
      <c r="F352" t="s">
        <v>54</v>
      </c>
      <c r="G352" t="s">
        <v>54</v>
      </c>
      <c r="H352" t="s">
        <v>819</v>
      </c>
      <c r="I352" t="s">
        <v>820</v>
      </c>
      <c r="M352">
        <v>3</v>
      </c>
    </row>
    <row r="353" spans="1:13" x14ac:dyDescent="0.25">
      <c r="A353" t="s">
        <v>809</v>
      </c>
      <c r="B353" t="s">
        <v>810</v>
      </c>
      <c r="C353" t="s">
        <v>811</v>
      </c>
      <c r="D353" t="s">
        <v>20</v>
      </c>
      <c r="E353" t="s">
        <v>53</v>
      </c>
      <c r="F353" t="s">
        <v>54</v>
      </c>
      <c r="G353" t="s">
        <v>54</v>
      </c>
      <c r="H353" t="s">
        <v>565</v>
      </c>
      <c r="I353" t="s">
        <v>566</v>
      </c>
      <c r="M353">
        <v>4</v>
      </c>
    </row>
    <row r="354" spans="1:13" x14ac:dyDescent="0.25">
      <c r="A354" t="s">
        <v>809</v>
      </c>
      <c r="B354" t="s">
        <v>810</v>
      </c>
      <c r="C354" t="s">
        <v>811</v>
      </c>
      <c r="D354" t="s">
        <v>20</v>
      </c>
      <c r="E354" t="s">
        <v>53</v>
      </c>
      <c r="F354" t="s">
        <v>54</v>
      </c>
      <c r="G354" t="s">
        <v>54</v>
      </c>
      <c r="H354" t="s">
        <v>204</v>
      </c>
      <c r="I354" t="s">
        <v>205</v>
      </c>
      <c r="M354">
        <v>5</v>
      </c>
    </row>
    <row r="355" spans="1:13" x14ac:dyDescent="0.25">
      <c r="A355" t="s">
        <v>809</v>
      </c>
      <c r="B355" t="s">
        <v>810</v>
      </c>
      <c r="C355" t="s">
        <v>811</v>
      </c>
      <c r="D355" t="s">
        <v>20</v>
      </c>
      <c r="E355" t="s">
        <v>53</v>
      </c>
      <c r="F355" t="s">
        <v>54</v>
      </c>
      <c r="G355" t="s">
        <v>54</v>
      </c>
      <c r="H355" t="s">
        <v>252</v>
      </c>
      <c r="I355" t="s">
        <v>183</v>
      </c>
      <c r="M355">
        <v>6</v>
      </c>
    </row>
    <row r="356" spans="1:13" x14ac:dyDescent="0.25">
      <c r="A356" t="s">
        <v>809</v>
      </c>
      <c r="B356" t="s">
        <v>810</v>
      </c>
      <c r="C356" t="s">
        <v>811</v>
      </c>
      <c r="D356" t="s">
        <v>20</v>
      </c>
      <c r="E356" t="s">
        <v>53</v>
      </c>
      <c r="F356" t="s">
        <v>54</v>
      </c>
      <c r="G356" t="s">
        <v>54</v>
      </c>
      <c r="H356" t="s">
        <v>217</v>
      </c>
      <c r="I356" t="s">
        <v>218</v>
      </c>
      <c r="M356">
        <v>7</v>
      </c>
    </row>
    <row r="357" spans="1:13" x14ac:dyDescent="0.25">
      <c r="A357" t="s">
        <v>809</v>
      </c>
      <c r="B357" t="s">
        <v>810</v>
      </c>
      <c r="C357" t="s">
        <v>811</v>
      </c>
      <c r="D357" t="s">
        <v>20</v>
      </c>
      <c r="E357" t="s">
        <v>53</v>
      </c>
      <c r="F357" t="s">
        <v>54</v>
      </c>
      <c r="G357" t="s">
        <v>54</v>
      </c>
      <c r="H357" t="s">
        <v>34</v>
      </c>
      <c r="I357" t="s">
        <v>35</v>
      </c>
      <c r="M357">
        <v>8</v>
      </c>
    </row>
    <row r="358" spans="1:13" x14ac:dyDescent="0.25">
      <c r="A358" t="s">
        <v>809</v>
      </c>
      <c r="B358" t="s">
        <v>810</v>
      </c>
      <c r="C358" t="s">
        <v>811</v>
      </c>
      <c r="D358" t="s">
        <v>20</v>
      </c>
      <c r="E358" t="s">
        <v>53</v>
      </c>
      <c r="F358" t="s">
        <v>54</v>
      </c>
      <c r="G358" t="s">
        <v>54</v>
      </c>
      <c r="H358" t="s">
        <v>98</v>
      </c>
      <c r="I358" t="s">
        <v>93</v>
      </c>
      <c r="M358">
        <v>9</v>
      </c>
    </row>
    <row r="359" spans="1:13" x14ac:dyDescent="0.25">
      <c r="A359" t="s">
        <v>809</v>
      </c>
      <c r="B359" t="s">
        <v>810</v>
      </c>
      <c r="C359" t="s">
        <v>811</v>
      </c>
      <c r="D359" t="s">
        <v>20</v>
      </c>
      <c r="E359" t="s">
        <v>53</v>
      </c>
      <c r="F359" t="s">
        <v>54</v>
      </c>
      <c r="G359" t="s">
        <v>54</v>
      </c>
      <c r="H359" t="s">
        <v>98</v>
      </c>
      <c r="I359" t="s">
        <v>92</v>
      </c>
      <c r="M359">
        <v>9</v>
      </c>
    </row>
    <row r="360" spans="1:13" x14ac:dyDescent="0.25">
      <c r="A360" t="s">
        <v>776</v>
      </c>
      <c r="B360" t="s">
        <v>777</v>
      </c>
      <c r="C360" t="s">
        <v>778</v>
      </c>
      <c r="D360" t="s">
        <v>20</v>
      </c>
      <c r="E360" t="s">
        <v>53</v>
      </c>
      <c r="F360" t="s">
        <v>54</v>
      </c>
      <c r="G360" t="s">
        <v>54</v>
      </c>
      <c r="H360" t="s">
        <v>34</v>
      </c>
      <c r="I360" t="s">
        <v>35</v>
      </c>
      <c r="M360">
        <v>1</v>
      </c>
    </row>
    <row r="361" spans="1:13" x14ac:dyDescent="0.25">
      <c r="A361" t="s">
        <v>776</v>
      </c>
      <c r="B361" t="s">
        <v>777</v>
      </c>
      <c r="C361" t="s">
        <v>778</v>
      </c>
      <c r="D361" t="s">
        <v>20</v>
      </c>
      <c r="E361" t="s">
        <v>53</v>
      </c>
      <c r="F361" t="s">
        <v>54</v>
      </c>
      <c r="G361" t="s">
        <v>54</v>
      </c>
      <c r="H361" t="s">
        <v>59</v>
      </c>
      <c r="I361" t="s">
        <v>60</v>
      </c>
      <c r="M361">
        <v>2</v>
      </c>
    </row>
    <row r="362" spans="1:13" x14ac:dyDescent="0.25">
      <c r="A362" t="s">
        <v>776</v>
      </c>
      <c r="B362" t="s">
        <v>777</v>
      </c>
      <c r="C362" t="s">
        <v>778</v>
      </c>
      <c r="D362" t="s">
        <v>20</v>
      </c>
      <c r="E362" t="s">
        <v>53</v>
      </c>
      <c r="F362" t="s">
        <v>54</v>
      </c>
      <c r="G362" t="s">
        <v>54</v>
      </c>
      <c r="H362" t="s">
        <v>255</v>
      </c>
      <c r="I362" t="s">
        <v>256</v>
      </c>
      <c r="M362">
        <v>3</v>
      </c>
    </row>
    <row r="363" spans="1:13" x14ac:dyDescent="0.25">
      <c r="A363" t="s">
        <v>776</v>
      </c>
      <c r="B363" t="s">
        <v>777</v>
      </c>
      <c r="C363" t="s">
        <v>778</v>
      </c>
      <c r="D363" t="s">
        <v>20</v>
      </c>
      <c r="E363" t="s">
        <v>53</v>
      </c>
      <c r="F363" t="s">
        <v>54</v>
      </c>
      <c r="G363" t="s">
        <v>54</v>
      </c>
      <c r="H363" t="s">
        <v>51</v>
      </c>
      <c r="I363" t="s">
        <v>52</v>
      </c>
      <c r="M363">
        <v>4</v>
      </c>
    </row>
    <row r="364" spans="1:13" x14ac:dyDescent="0.25">
      <c r="A364" t="s">
        <v>776</v>
      </c>
      <c r="B364" t="s">
        <v>777</v>
      </c>
      <c r="C364" t="s">
        <v>778</v>
      </c>
      <c r="D364" t="s">
        <v>20</v>
      </c>
      <c r="E364" t="s">
        <v>53</v>
      </c>
      <c r="F364" t="s">
        <v>54</v>
      </c>
      <c r="G364" t="s">
        <v>54</v>
      </c>
      <c r="H364" t="s">
        <v>781</v>
      </c>
      <c r="I364" t="s">
        <v>782</v>
      </c>
      <c r="M364">
        <v>5</v>
      </c>
    </row>
    <row r="365" spans="1:13" x14ac:dyDescent="0.25">
      <c r="A365" t="s">
        <v>776</v>
      </c>
      <c r="B365" t="s">
        <v>777</v>
      </c>
      <c r="C365" t="s">
        <v>778</v>
      </c>
      <c r="D365" t="s">
        <v>20</v>
      </c>
      <c r="E365" t="s">
        <v>53</v>
      </c>
      <c r="F365" t="s">
        <v>54</v>
      </c>
      <c r="G365" t="s">
        <v>54</v>
      </c>
      <c r="H365" t="s">
        <v>204</v>
      </c>
      <c r="I365" t="s">
        <v>205</v>
      </c>
      <c r="M365">
        <v>6</v>
      </c>
    </row>
    <row r="366" spans="1:13" x14ac:dyDescent="0.25">
      <c r="A366" t="s">
        <v>776</v>
      </c>
      <c r="B366" t="s">
        <v>777</v>
      </c>
      <c r="C366" t="s">
        <v>778</v>
      </c>
      <c r="D366" t="s">
        <v>20</v>
      </c>
      <c r="E366" t="s">
        <v>53</v>
      </c>
      <c r="F366" t="s">
        <v>54</v>
      </c>
      <c r="G366" t="s">
        <v>54</v>
      </c>
      <c r="H366" t="s">
        <v>783</v>
      </c>
      <c r="I366" t="s">
        <v>301</v>
      </c>
      <c r="M366">
        <v>7</v>
      </c>
    </row>
    <row r="367" spans="1:13" x14ac:dyDescent="0.25">
      <c r="A367" t="s">
        <v>776</v>
      </c>
      <c r="B367" t="s">
        <v>777</v>
      </c>
      <c r="C367" t="s">
        <v>778</v>
      </c>
      <c r="D367" t="s">
        <v>20</v>
      </c>
      <c r="E367" t="s">
        <v>53</v>
      </c>
      <c r="F367" t="s">
        <v>54</v>
      </c>
      <c r="G367" t="s">
        <v>54</v>
      </c>
      <c r="H367" t="s">
        <v>784</v>
      </c>
      <c r="I367" t="s">
        <v>785</v>
      </c>
      <c r="M367">
        <v>8</v>
      </c>
    </row>
    <row r="368" spans="1:13" x14ac:dyDescent="0.25">
      <c r="A368" t="s">
        <v>776</v>
      </c>
      <c r="B368" t="s">
        <v>777</v>
      </c>
      <c r="C368" t="s">
        <v>778</v>
      </c>
      <c r="D368" t="s">
        <v>20</v>
      </c>
      <c r="E368" t="s">
        <v>53</v>
      </c>
      <c r="F368" t="s">
        <v>54</v>
      </c>
      <c r="G368" t="s">
        <v>54</v>
      </c>
      <c r="H368" t="s">
        <v>61</v>
      </c>
      <c r="I368" t="s">
        <v>62</v>
      </c>
      <c r="M368">
        <v>9</v>
      </c>
    </row>
    <row r="369" spans="1:13" x14ac:dyDescent="0.25">
      <c r="A369" t="s">
        <v>776</v>
      </c>
      <c r="B369" t="s">
        <v>777</v>
      </c>
      <c r="C369" t="s">
        <v>778</v>
      </c>
      <c r="D369" t="s">
        <v>20</v>
      </c>
      <c r="E369" t="s">
        <v>53</v>
      </c>
      <c r="F369" t="s">
        <v>54</v>
      </c>
      <c r="G369" t="s">
        <v>54</v>
      </c>
      <c r="H369" t="s">
        <v>786</v>
      </c>
      <c r="I369" t="s">
        <v>787</v>
      </c>
      <c r="M369">
        <v>10</v>
      </c>
    </row>
    <row r="370" spans="1:13" x14ac:dyDescent="0.25">
      <c r="A370" t="s">
        <v>669</v>
      </c>
      <c r="B370" t="s">
        <v>670</v>
      </c>
      <c r="C370" t="s">
        <v>671</v>
      </c>
      <c r="D370" t="s">
        <v>20</v>
      </c>
      <c r="E370" t="s">
        <v>53</v>
      </c>
      <c r="F370" t="s">
        <v>54</v>
      </c>
      <c r="G370" t="s">
        <v>54</v>
      </c>
      <c r="H370" t="s">
        <v>248</v>
      </c>
      <c r="I370" t="s">
        <v>249</v>
      </c>
      <c r="M370">
        <v>1</v>
      </c>
    </row>
    <row r="371" spans="1:13" x14ac:dyDescent="0.25">
      <c r="A371" t="s">
        <v>669</v>
      </c>
      <c r="B371" t="s">
        <v>670</v>
      </c>
      <c r="C371" t="s">
        <v>671</v>
      </c>
      <c r="D371" t="s">
        <v>20</v>
      </c>
      <c r="E371" t="s">
        <v>53</v>
      </c>
      <c r="F371" t="s">
        <v>54</v>
      </c>
      <c r="G371" t="s">
        <v>54</v>
      </c>
      <c r="H371" t="s">
        <v>89</v>
      </c>
      <c r="I371" t="s">
        <v>90</v>
      </c>
      <c r="M371">
        <v>2</v>
      </c>
    </row>
    <row r="372" spans="1:13" x14ac:dyDescent="0.25">
      <c r="A372" t="s">
        <v>669</v>
      </c>
      <c r="B372" t="s">
        <v>670</v>
      </c>
      <c r="C372" t="s">
        <v>671</v>
      </c>
      <c r="D372" t="s">
        <v>20</v>
      </c>
      <c r="E372" t="s">
        <v>53</v>
      </c>
      <c r="F372" t="s">
        <v>54</v>
      </c>
      <c r="G372" t="s">
        <v>54</v>
      </c>
      <c r="H372" t="s">
        <v>262</v>
      </c>
      <c r="I372" t="s">
        <v>263</v>
      </c>
      <c r="M372">
        <v>3</v>
      </c>
    </row>
    <row r="373" spans="1:13" x14ac:dyDescent="0.25">
      <c r="A373" t="s">
        <v>669</v>
      </c>
      <c r="B373" t="s">
        <v>670</v>
      </c>
      <c r="C373" t="s">
        <v>671</v>
      </c>
      <c r="D373" t="s">
        <v>20</v>
      </c>
      <c r="E373" t="s">
        <v>53</v>
      </c>
      <c r="F373" t="s">
        <v>54</v>
      </c>
      <c r="G373" t="s">
        <v>54</v>
      </c>
      <c r="H373" t="s">
        <v>219</v>
      </c>
      <c r="I373" t="s">
        <v>221</v>
      </c>
      <c r="M373">
        <v>4</v>
      </c>
    </row>
    <row r="374" spans="1:13" x14ac:dyDescent="0.25">
      <c r="A374" t="s">
        <v>669</v>
      </c>
      <c r="B374" t="s">
        <v>670</v>
      </c>
      <c r="C374" t="s">
        <v>671</v>
      </c>
      <c r="D374" t="s">
        <v>20</v>
      </c>
      <c r="E374" t="s">
        <v>53</v>
      </c>
      <c r="F374" t="s">
        <v>54</v>
      </c>
      <c r="G374" t="s">
        <v>54</v>
      </c>
      <c r="H374" t="s">
        <v>219</v>
      </c>
      <c r="I374" t="s">
        <v>220</v>
      </c>
      <c r="M374">
        <v>4</v>
      </c>
    </row>
    <row r="375" spans="1:13" x14ac:dyDescent="0.25">
      <c r="A375" t="s">
        <v>669</v>
      </c>
      <c r="B375" t="s">
        <v>670</v>
      </c>
      <c r="C375" t="s">
        <v>671</v>
      </c>
      <c r="D375" t="s">
        <v>20</v>
      </c>
      <c r="E375" t="s">
        <v>53</v>
      </c>
      <c r="F375" t="s">
        <v>54</v>
      </c>
      <c r="G375" t="s">
        <v>54</v>
      </c>
      <c r="H375" t="s">
        <v>407</v>
      </c>
      <c r="I375" t="s">
        <v>408</v>
      </c>
      <c r="M375">
        <v>6</v>
      </c>
    </row>
    <row r="376" spans="1:13" x14ac:dyDescent="0.25">
      <c r="A376" t="s">
        <v>669</v>
      </c>
      <c r="B376" t="s">
        <v>670</v>
      </c>
      <c r="C376" t="s">
        <v>671</v>
      </c>
      <c r="D376" t="s">
        <v>20</v>
      </c>
      <c r="E376" t="s">
        <v>53</v>
      </c>
      <c r="F376" t="s">
        <v>54</v>
      </c>
      <c r="G376" t="s">
        <v>54</v>
      </c>
      <c r="H376" t="s">
        <v>233</v>
      </c>
      <c r="I376" t="s">
        <v>234</v>
      </c>
      <c r="M376">
        <v>7</v>
      </c>
    </row>
    <row r="377" spans="1:13" x14ac:dyDescent="0.25">
      <c r="A377" t="s">
        <v>669</v>
      </c>
      <c r="B377" t="s">
        <v>670</v>
      </c>
      <c r="C377" t="s">
        <v>671</v>
      </c>
      <c r="D377" t="s">
        <v>20</v>
      </c>
      <c r="E377" t="s">
        <v>53</v>
      </c>
      <c r="F377" t="s">
        <v>54</v>
      </c>
      <c r="G377" t="s">
        <v>54</v>
      </c>
      <c r="H377" t="s">
        <v>55</v>
      </c>
      <c r="I377" t="s">
        <v>56</v>
      </c>
      <c r="M377">
        <v>8</v>
      </c>
    </row>
    <row r="378" spans="1:13" x14ac:dyDescent="0.25">
      <c r="A378" t="s">
        <v>669</v>
      </c>
      <c r="B378" t="s">
        <v>670</v>
      </c>
      <c r="C378" t="s">
        <v>671</v>
      </c>
      <c r="D378" t="s">
        <v>20</v>
      </c>
      <c r="E378" t="s">
        <v>53</v>
      </c>
      <c r="F378" t="s">
        <v>54</v>
      </c>
      <c r="G378" t="s">
        <v>54</v>
      </c>
      <c r="H378" t="s">
        <v>609</v>
      </c>
      <c r="I378" t="s">
        <v>610</v>
      </c>
      <c r="M378">
        <v>9</v>
      </c>
    </row>
    <row r="379" spans="1:13" x14ac:dyDescent="0.25">
      <c r="A379" t="s">
        <v>669</v>
      </c>
      <c r="B379" t="s">
        <v>670</v>
      </c>
      <c r="C379" t="s">
        <v>671</v>
      </c>
      <c r="D379" t="s">
        <v>20</v>
      </c>
      <c r="E379" t="s">
        <v>53</v>
      </c>
      <c r="F379" t="s">
        <v>54</v>
      </c>
      <c r="G379" t="s">
        <v>54</v>
      </c>
      <c r="H379" t="s">
        <v>672</v>
      </c>
      <c r="I379" t="s">
        <v>673</v>
      </c>
      <c r="M379">
        <v>10</v>
      </c>
    </row>
    <row r="380" spans="1:13" x14ac:dyDescent="0.25">
      <c r="A380" t="s">
        <v>763</v>
      </c>
      <c r="B380" t="s">
        <v>764</v>
      </c>
      <c r="C380" t="s">
        <v>765</v>
      </c>
      <c r="D380" t="s">
        <v>20</v>
      </c>
      <c r="E380" t="s">
        <v>53</v>
      </c>
      <c r="F380" t="s">
        <v>54</v>
      </c>
      <c r="G380" t="s">
        <v>54</v>
      </c>
      <c r="H380" t="s">
        <v>772</v>
      </c>
      <c r="I380" t="s">
        <v>773</v>
      </c>
      <c r="M380">
        <v>1</v>
      </c>
    </row>
    <row r="381" spans="1:13" x14ac:dyDescent="0.25">
      <c r="A381" t="s">
        <v>763</v>
      </c>
      <c r="B381" t="s">
        <v>764</v>
      </c>
      <c r="C381" t="s">
        <v>765</v>
      </c>
      <c r="D381" t="s">
        <v>20</v>
      </c>
      <c r="E381" t="s">
        <v>53</v>
      </c>
      <c r="F381" t="s">
        <v>54</v>
      </c>
      <c r="G381" t="s">
        <v>54</v>
      </c>
      <c r="H381" t="s">
        <v>767</v>
      </c>
      <c r="I381" t="s">
        <v>546</v>
      </c>
      <c r="M381">
        <v>2</v>
      </c>
    </row>
    <row r="382" spans="1:13" x14ac:dyDescent="0.25">
      <c r="A382" t="s">
        <v>763</v>
      </c>
      <c r="B382" t="s">
        <v>764</v>
      </c>
      <c r="C382" t="s">
        <v>765</v>
      </c>
      <c r="D382" t="s">
        <v>20</v>
      </c>
      <c r="E382" t="s">
        <v>53</v>
      </c>
      <c r="F382" t="s">
        <v>54</v>
      </c>
      <c r="G382" t="s">
        <v>54</v>
      </c>
      <c r="H382" t="s">
        <v>766</v>
      </c>
      <c r="I382" t="s">
        <v>183</v>
      </c>
      <c r="M382">
        <v>3</v>
      </c>
    </row>
    <row r="383" spans="1:13" x14ac:dyDescent="0.25">
      <c r="A383" t="s">
        <v>763</v>
      </c>
      <c r="B383" t="s">
        <v>764</v>
      </c>
      <c r="C383" t="s">
        <v>765</v>
      </c>
      <c r="D383" t="s">
        <v>20</v>
      </c>
      <c r="E383" t="s">
        <v>53</v>
      </c>
      <c r="F383" t="s">
        <v>54</v>
      </c>
      <c r="G383" t="s">
        <v>54</v>
      </c>
      <c r="H383" t="s">
        <v>770</v>
      </c>
      <c r="I383" t="s">
        <v>771</v>
      </c>
      <c r="M383">
        <v>4</v>
      </c>
    </row>
    <row r="384" spans="1:13" x14ac:dyDescent="0.25">
      <c r="A384" t="s">
        <v>763</v>
      </c>
      <c r="B384" t="s">
        <v>764</v>
      </c>
      <c r="C384" t="s">
        <v>765</v>
      </c>
      <c r="D384" t="s">
        <v>20</v>
      </c>
      <c r="E384" t="s">
        <v>53</v>
      </c>
      <c r="F384" t="s">
        <v>54</v>
      </c>
      <c r="G384" t="s">
        <v>54</v>
      </c>
      <c r="H384" t="s">
        <v>477</v>
      </c>
      <c r="I384" t="s">
        <v>478</v>
      </c>
      <c r="M384">
        <v>5</v>
      </c>
    </row>
    <row r="385" spans="1:13" x14ac:dyDescent="0.25">
      <c r="A385" t="s">
        <v>763</v>
      </c>
      <c r="B385" t="s">
        <v>764</v>
      </c>
      <c r="C385" t="s">
        <v>765</v>
      </c>
      <c r="D385" t="s">
        <v>20</v>
      </c>
      <c r="E385" t="s">
        <v>53</v>
      </c>
      <c r="F385" t="s">
        <v>54</v>
      </c>
      <c r="G385" t="s">
        <v>54</v>
      </c>
      <c r="H385" t="s">
        <v>774</v>
      </c>
      <c r="I385" t="s">
        <v>775</v>
      </c>
      <c r="M385">
        <v>6</v>
      </c>
    </row>
    <row r="386" spans="1:13" x14ac:dyDescent="0.25">
      <c r="A386" t="s">
        <v>859</v>
      </c>
      <c r="B386" t="s">
        <v>860</v>
      </c>
      <c r="C386" t="s">
        <v>861</v>
      </c>
      <c r="D386" t="s">
        <v>20</v>
      </c>
      <c r="E386" t="s">
        <v>53</v>
      </c>
      <c r="F386" t="s">
        <v>54</v>
      </c>
      <c r="G386" t="s">
        <v>54</v>
      </c>
      <c r="H386" t="s">
        <v>51</v>
      </c>
      <c r="I386" t="s">
        <v>52</v>
      </c>
      <c r="M386">
        <v>1</v>
      </c>
    </row>
    <row r="387" spans="1:13" x14ac:dyDescent="0.25">
      <c r="A387" t="s">
        <v>859</v>
      </c>
      <c r="B387" t="s">
        <v>860</v>
      </c>
      <c r="C387" t="s">
        <v>861</v>
      </c>
      <c r="D387" t="s">
        <v>20</v>
      </c>
      <c r="E387" t="s">
        <v>53</v>
      </c>
      <c r="F387" t="s">
        <v>54</v>
      </c>
      <c r="G387" t="s">
        <v>54</v>
      </c>
      <c r="H387" t="s">
        <v>255</v>
      </c>
      <c r="I387" t="s">
        <v>256</v>
      </c>
      <c r="M387">
        <v>2</v>
      </c>
    </row>
    <row r="388" spans="1:13" x14ac:dyDescent="0.25">
      <c r="A388" t="s">
        <v>859</v>
      </c>
      <c r="B388" t="s">
        <v>860</v>
      </c>
      <c r="C388" t="s">
        <v>861</v>
      </c>
      <c r="D388" t="s">
        <v>20</v>
      </c>
      <c r="E388" t="s">
        <v>53</v>
      </c>
      <c r="F388" t="s">
        <v>54</v>
      </c>
      <c r="G388" t="s">
        <v>54</v>
      </c>
      <c r="H388" t="s">
        <v>609</v>
      </c>
      <c r="I388" t="s">
        <v>610</v>
      </c>
      <c r="M388">
        <v>3</v>
      </c>
    </row>
    <row r="389" spans="1:13" x14ac:dyDescent="0.25">
      <c r="A389" t="s">
        <v>859</v>
      </c>
      <c r="B389" t="s">
        <v>860</v>
      </c>
      <c r="C389" t="s">
        <v>861</v>
      </c>
      <c r="D389" t="s">
        <v>20</v>
      </c>
      <c r="E389" t="s">
        <v>53</v>
      </c>
      <c r="F389" t="s">
        <v>54</v>
      </c>
      <c r="G389" t="s">
        <v>54</v>
      </c>
      <c r="H389" t="s">
        <v>547</v>
      </c>
      <c r="I389" t="s">
        <v>221</v>
      </c>
      <c r="M389">
        <v>4</v>
      </c>
    </row>
    <row r="390" spans="1:13" x14ac:dyDescent="0.25">
      <c r="A390" t="s">
        <v>859</v>
      </c>
      <c r="B390" t="s">
        <v>860</v>
      </c>
      <c r="C390" t="s">
        <v>861</v>
      </c>
      <c r="D390" t="s">
        <v>20</v>
      </c>
      <c r="E390" t="s">
        <v>53</v>
      </c>
      <c r="F390" t="s">
        <v>54</v>
      </c>
      <c r="G390" t="s">
        <v>54</v>
      </c>
      <c r="H390" t="s">
        <v>547</v>
      </c>
      <c r="I390" t="s">
        <v>220</v>
      </c>
      <c r="M390">
        <v>4</v>
      </c>
    </row>
    <row r="391" spans="1:13" x14ac:dyDescent="0.25">
      <c r="A391" t="s">
        <v>859</v>
      </c>
      <c r="B391" t="s">
        <v>860</v>
      </c>
      <c r="C391" t="s">
        <v>861</v>
      </c>
      <c r="D391" t="s">
        <v>20</v>
      </c>
      <c r="E391" t="s">
        <v>53</v>
      </c>
      <c r="F391" t="s">
        <v>54</v>
      </c>
      <c r="G391" t="s">
        <v>54</v>
      </c>
      <c r="H391" t="s">
        <v>207</v>
      </c>
      <c r="I391" t="s">
        <v>208</v>
      </c>
      <c r="M391">
        <v>5</v>
      </c>
    </row>
    <row r="392" spans="1:13" x14ac:dyDescent="0.25">
      <c r="A392" t="s">
        <v>859</v>
      </c>
      <c r="B392" t="s">
        <v>860</v>
      </c>
      <c r="C392" t="s">
        <v>861</v>
      </c>
      <c r="D392" t="s">
        <v>20</v>
      </c>
      <c r="E392" t="s">
        <v>53</v>
      </c>
      <c r="F392" t="s">
        <v>54</v>
      </c>
      <c r="G392" t="s">
        <v>54</v>
      </c>
      <c r="H392" t="s">
        <v>136</v>
      </c>
      <c r="I392" t="s">
        <v>137</v>
      </c>
      <c r="M392">
        <v>6</v>
      </c>
    </row>
    <row r="393" spans="1:13" x14ac:dyDescent="0.25">
      <c r="A393" t="s">
        <v>859</v>
      </c>
      <c r="B393" t="s">
        <v>860</v>
      </c>
      <c r="C393" t="s">
        <v>861</v>
      </c>
      <c r="D393" t="s">
        <v>20</v>
      </c>
      <c r="E393" t="s">
        <v>53</v>
      </c>
      <c r="F393" t="s">
        <v>54</v>
      </c>
      <c r="G393" t="s">
        <v>54</v>
      </c>
      <c r="H393" t="s">
        <v>629</v>
      </c>
      <c r="I393" t="s">
        <v>259</v>
      </c>
      <c r="M393">
        <v>7</v>
      </c>
    </row>
    <row r="394" spans="1:13" x14ac:dyDescent="0.25">
      <c r="A394" t="s">
        <v>859</v>
      </c>
      <c r="B394" t="s">
        <v>860</v>
      </c>
      <c r="C394" t="s">
        <v>861</v>
      </c>
      <c r="D394" t="s">
        <v>20</v>
      </c>
      <c r="E394" t="s">
        <v>53</v>
      </c>
      <c r="F394" t="s">
        <v>54</v>
      </c>
      <c r="G394" t="s">
        <v>54</v>
      </c>
      <c r="H394" t="s">
        <v>204</v>
      </c>
      <c r="I394" t="s">
        <v>205</v>
      </c>
      <c r="M394">
        <v>8</v>
      </c>
    </row>
    <row r="395" spans="1:13" x14ac:dyDescent="0.25">
      <c r="A395" t="s">
        <v>859</v>
      </c>
      <c r="B395" t="s">
        <v>860</v>
      </c>
      <c r="C395" t="s">
        <v>861</v>
      </c>
      <c r="D395" t="s">
        <v>20</v>
      </c>
      <c r="E395" t="s">
        <v>53</v>
      </c>
      <c r="F395" t="s">
        <v>54</v>
      </c>
      <c r="G395" t="s">
        <v>54</v>
      </c>
      <c r="H395" t="s">
        <v>567</v>
      </c>
      <c r="I395" t="s">
        <v>568</v>
      </c>
      <c r="M395">
        <v>9</v>
      </c>
    </row>
    <row r="396" spans="1:13" x14ac:dyDescent="0.25">
      <c r="A396" t="s">
        <v>859</v>
      </c>
      <c r="B396" t="s">
        <v>860</v>
      </c>
      <c r="C396" t="s">
        <v>861</v>
      </c>
      <c r="D396" t="s">
        <v>20</v>
      </c>
      <c r="E396" t="s">
        <v>53</v>
      </c>
      <c r="F396" t="s">
        <v>54</v>
      </c>
      <c r="G396" t="s">
        <v>54</v>
      </c>
      <c r="H396" t="s">
        <v>545</v>
      </c>
      <c r="I396" t="s">
        <v>546</v>
      </c>
      <c r="M396">
        <v>10</v>
      </c>
    </row>
    <row r="397" spans="1:13" x14ac:dyDescent="0.25">
      <c r="A397" t="s">
        <v>722</v>
      </c>
      <c r="B397" t="s">
        <v>723</v>
      </c>
      <c r="C397" t="s">
        <v>724</v>
      </c>
      <c r="D397" t="s">
        <v>725</v>
      </c>
      <c r="E397" t="s">
        <v>53</v>
      </c>
      <c r="F397" t="s">
        <v>54</v>
      </c>
      <c r="G397" t="s">
        <v>54</v>
      </c>
      <c r="H397" t="s">
        <v>547</v>
      </c>
      <c r="I397" t="s">
        <v>221</v>
      </c>
      <c r="M397">
        <v>1</v>
      </c>
    </row>
    <row r="398" spans="1:13" x14ac:dyDescent="0.25">
      <c r="A398" t="s">
        <v>722</v>
      </c>
      <c r="B398" t="s">
        <v>723</v>
      </c>
      <c r="C398" t="s">
        <v>724</v>
      </c>
      <c r="D398" t="s">
        <v>725</v>
      </c>
      <c r="E398" t="s">
        <v>53</v>
      </c>
      <c r="F398" t="s">
        <v>54</v>
      </c>
      <c r="G398" t="s">
        <v>54</v>
      </c>
      <c r="H398" t="s">
        <v>547</v>
      </c>
      <c r="I398" t="s">
        <v>220</v>
      </c>
      <c r="M398">
        <v>1</v>
      </c>
    </row>
    <row r="399" spans="1:13" x14ac:dyDescent="0.25">
      <c r="A399" t="s">
        <v>722</v>
      </c>
      <c r="B399" t="s">
        <v>723</v>
      </c>
      <c r="C399" t="s">
        <v>724</v>
      </c>
      <c r="D399" t="s">
        <v>725</v>
      </c>
      <c r="E399" t="s">
        <v>53</v>
      </c>
      <c r="F399" t="s">
        <v>54</v>
      </c>
      <c r="G399" t="s">
        <v>54</v>
      </c>
      <c r="H399" t="s">
        <v>548</v>
      </c>
      <c r="I399" t="s">
        <v>234</v>
      </c>
      <c r="M399">
        <v>2</v>
      </c>
    </row>
    <row r="400" spans="1:13" x14ac:dyDescent="0.25">
      <c r="A400" t="s">
        <v>722</v>
      </c>
      <c r="B400" t="s">
        <v>723</v>
      </c>
      <c r="C400" t="s">
        <v>724</v>
      </c>
      <c r="D400" t="s">
        <v>725</v>
      </c>
      <c r="E400" t="s">
        <v>53</v>
      </c>
      <c r="F400" t="s">
        <v>54</v>
      </c>
      <c r="G400" t="s">
        <v>54</v>
      </c>
      <c r="H400" t="s">
        <v>248</v>
      </c>
      <c r="I400" t="s">
        <v>249</v>
      </c>
      <c r="M400">
        <v>3</v>
      </c>
    </row>
    <row r="401" spans="1:13" x14ac:dyDescent="0.25">
      <c r="A401" t="s">
        <v>722</v>
      </c>
      <c r="B401" t="s">
        <v>723</v>
      </c>
      <c r="C401" t="s">
        <v>724</v>
      </c>
      <c r="D401" t="s">
        <v>725</v>
      </c>
      <c r="E401" t="s">
        <v>53</v>
      </c>
      <c r="F401" t="s">
        <v>54</v>
      </c>
      <c r="G401" t="s">
        <v>54</v>
      </c>
      <c r="H401" t="s">
        <v>103</v>
      </c>
      <c r="I401" t="s">
        <v>104</v>
      </c>
      <c r="M401">
        <v>4</v>
      </c>
    </row>
    <row r="402" spans="1:13" x14ac:dyDescent="0.25">
      <c r="A402" t="s">
        <v>722</v>
      </c>
      <c r="B402" t="s">
        <v>723</v>
      </c>
      <c r="C402" t="s">
        <v>724</v>
      </c>
      <c r="D402" t="s">
        <v>725</v>
      </c>
      <c r="E402" t="s">
        <v>53</v>
      </c>
      <c r="F402" t="s">
        <v>54</v>
      </c>
      <c r="G402" t="s">
        <v>54</v>
      </c>
      <c r="H402" t="s">
        <v>266</v>
      </c>
      <c r="I402" t="s">
        <v>194</v>
      </c>
      <c r="M402">
        <v>6</v>
      </c>
    </row>
    <row r="403" spans="1:13" x14ac:dyDescent="0.25">
      <c r="A403" t="s">
        <v>722</v>
      </c>
      <c r="B403" t="s">
        <v>723</v>
      </c>
      <c r="C403" t="s">
        <v>724</v>
      </c>
      <c r="D403" t="s">
        <v>725</v>
      </c>
      <c r="E403" t="s">
        <v>53</v>
      </c>
      <c r="F403" t="s">
        <v>54</v>
      </c>
      <c r="G403" t="s">
        <v>54</v>
      </c>
      <c r="H403" t="s">
        <v>480</v>
      </c>
      <c r="I403" t="s">
        <v>280</v>
      </c>
      <c r="M403">
        <v>7</v>
      </c>
    </row>
    <row r="404" spans="1:13" x14ac:dyDescent="0.25">
      <c r="A404" t="s">
        <v>722</v>
      </c>
      <c r="B404" t="s">
        <v>723</v>
      </c>
      <c r="C404" t="s">
        <v>724</v>
      </c>
      <c r="D404" t="s">
        <v>725</v>
      </c>
      <c r="E404" t="s">
        <v>53</v>
      </c>
      <c r="F404" t="s">
        <v>54</v>
      </c>
      <c r="G404" t="s">
        <v>54</v>
      </c>
      <c r="H404" t="s">
        <v>55</v>
      </c>
      <c r="I404" t="s">
        <v>56</v>
      </c>
      <c r="M404">
        <v>8</v>
      </c>
    </row>
    <row r="405" spans="1:13" x14ac:dyDescent="0.25">
      <c r="A405" t="s">
        <v>722</v>
      </c>
      <c r="B405" t="s">
        <v>723</v>
      </c>
      <c r="C405" t="s">
        <v>724</v>
      </c>
      <c r="D405" t="s">
        <v>725</v>
      </c>
      <c r="E405" t="s">
        <v>53</v>
      </c>
      <c r="F405" t="s">
        <v>54</v>
      </c>
      <c r="G405" t="s">
        <v>54</v>
      </c>
      <c r="H405" t="s">
        <v>519</v>
      </c>
      <c r="I405" t="s">
        <v>520</v>
      </c>
      <c r="M405">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EA0D-F394-449A-8F5E-A98D2A85A4A6}">
  <dimension ref="A3:O56"/>
  <sheetViews>
    <sheetView workbookViewId="0"/>
  </sheetViews>
  <sheetFormatPr defaultRowHeight="15" x14ac:dyDescent="0.25"/>
  <cols>
    <col min="1" max="1" width="18.42578125" bestFit="1" customWidth="1"/>
    <col min="2" max="2" width="24" customWidth="1"/>
    <col min="3" max="5" width="16.7109375" bestFit="1" customWidth="1"/>
    <col min="6" max="6" width="7.5703125" customWidth="1"/>
    <col min="7" max="7" width="9.85546875" customWidth="1"/>
    <col min="8" max="8" width="3" bestFit="1" customWidth="1"/>
    <col min="9" max="10" width="2" bestFit="1" customWidth="1"/>
    <col min="11" max="11" width="17.5703125" bestFit="1" customWidth="1"/>
    <col min="12" max="15" width="16.7109375" bestFit="1" customWidth="1"/>
    <col min="16" max="18" width="3" bestFit="1" customWidth="1"/>
    <col min="19" max="20" width="10" bestFit="1" customWidth="1"/>
  </cols>
  <sheetData>
    <row r="3" spans="1:15" x14ac:dyDescent="0.25">
      <c r="B3" s="7" t="s">
        <v>969</v>
      </c>
    </row>
    <row r="4" spans="1:15" x14ac:dyDescent="0.25">
      <c r="B4" t="s">
        <v>80</v>
      </c>
      <c r="D4" t="s">
        <v>88</v>
      </c>
      <c r="F4" t="s">
        <v>970</v>
      </c>
      <c r="G4" t="s">
        <v>971</v>
      </c>
    </row>
    <row r="5" spans="1:15" x14ac:dyDescent="0.25">
      <c r="A5" s="7" t="s">
        <v>972</v>
      </c>
      <c r="B5" t="s">
        <v>973</v>
      </c>
      <c r="C5" t="s">
        <v>974</v>
      </c>
      <c r="D5" t="s">
        <v>973</v>
      </c>
      <c r="E5" t="s">
        <v>974</v>
      </c>
    </row>
    <row r="6" spans="1:15" x14ac:dyDescent="0.25">
      <c r="A6" s="8" t="s">
        <v>33</v>
      </c>
      <c r="B6" s="9">
        <v>0.57547169811320753</v>
      </c>
      <c r="C6">
        <v>61</v>
      </c>
      <c r="D6" s="9">
        <v>0.42452830188679247</v>
      </c>
      <c r="E6">
        <v>45</v>
      </c>
      <c r="F6" s="9">
        <v>1</v>
      </c>
      <c r="G6">
        <v>106</v>
      </c>
    </row>
    <row r="7" spans="1:15" x14ac:dyDescent="0.25">
      <c r="A7" s="8" t="s">
        <v>48</v>
      </c>
      <c r="B7" s="9">
        <v>0.67796610169491522</v>
      </c>
      <c r="C7">
        <v>40</v>
      </c>
      <c r="D7" s="9">
        <v>0.32203389830508472</v>
      </c>
      <c r="E7">
        <v>19</v>
      </c>
      <c r="F7" s="9">
        <v>1</v>
      </c>
      <c r="G7">
        <v>59</v>
      </c>
    </row>
    <row r="8" spans="1:15" x14ac:dyDescent="0.25">
      <c r="A8" s="8" t="s">
        <v>53</v>
      </c>
      <c r="B8" s="9">
        <v>0.6071428571428571</v>
      </c>
      <c r="C8">
        <v>51</v>
      </c>
      <c r="D8" s="9">
        <v>0.39285714285714285</v>
      </c>
      <c r="E8">
        <v>33</v>
      </c>
      <c r="F8" s="9">
        <v>1</v>
      </c>
      <c r="G8">
        <v>84</v>
      </c>
    </row>
    <row r="9" spans="1:15" x14ac:dyDescent="0.25">
      <c r="A9" s="8" t="s">
        <v>975</v>
      </c>
      <c r="B9" s="9">
        <v>0.8666666666666667</v>
      </c>
      <c r="C9">
        <v>13</v>
      </c>
      <c r="D9" s="9">
        <v>0.13333333333333333</v>
      </c>
      <c r="E9">
        <v>2</v>
      </c>
      <c r="F9" s="9">
        <v>1</v>
      </c>
      <c r="G9">
        <v>15</v>
      </c>
    </row>
    <row r="10" spans="1:15" x14ac:dyDescent="0.25">
      <c r="A10" s="8" t="s">
        <v>976</v>
      </c>
      <c r="B10" s="9">
        <v>0.625</v>
      </c>
      <c r="C10">
        <v>165</v>
      </c>
      <c r="D10" s="9">
        <v>0.375</v>
      </c>
      <c r="E10">
        <v>99</v>
      </c>
      <c r="F10" s="9">
        <v>1</v>
      </c>
      <c r="G10">
        <v>264</v>
      </c>
    </row>
    <row r="14" spans="1:15" x14ac:dyDescent="0.25">
      <c r="A14" s="7" t="s">
        <v>973</v>
      </c>
      <c r="B14" s="7" t="s">
        <v>969</v>
      </c>
      <c r="K14" s="7" t="s">
        <v>973</v>
      </c>
      <c r="L14" s="7" t="s">
        <v>969</v>
      </c>
    </row>
    <row r="15" spans="1:15" x14ac:dyDescent="0.25">
      <c r="A15" s="7" t="s">
        <v>972</v>
      </c>
      <c r="B15" t="s">
        <v>80</v>
      </c>
      <c r="C15" t="s">
        <v>88</v>
      </c>
      <c r="D15" t="s">
        <v>977</v>
      </c>
      <c r="E15" t="s">
        <v>976</v>
      </c>
      <c r="K15" s="7" t="s">
        <v>972</v>
      </c>
      <c r="L15" t="s">
        <v>80</v>
      </c>
      <c r="M15" t="s">
        <v>88</v>
      </c>
      <c r="N15" t="s">
        <v>977</v>
      </c>
      <c r="O15" t="s">
        <v>976</v>
      </c>
    </row>
    <row r="16" spans="1:15" x14ac:dyDescent="0.25">
      <c r="A16" s="8" t="s">
        <v>53</v>
      </c>
      <c r="B16" s="9">
        <v>0.6071428571428571</v>
      </c>
      <c r="C16" s="9">
        <v>0.39285714285714285</v>
      </c>
      <c r="D16" s="9">
        <v>0</v>
      </c>
      <c r="E16" s="9">
        <v>1</v>
      </c>
      <c r="K16" s="8" t="s">
        <v>33</v>
      </c>
      <c r="L16" s="9">
        <v>0.57547169811320753</v>
      </c>
      <c r="M16" s="9">
        <v>0.42452830188679247</v>
      </c>
      <c r="N16" s="9">
        <v>0</v>
      </c>
      <c r="O16" s="9">
        <v>1</v>
      </c>
    </row>
    <row r="17" spans="1:15" x14ac:dyDescent="0.25">
      <c r="A17" s="10">
        <v>1</v>
      </c>
      <c r="B17" s="9">
        <v>0.75</v>
      </c>
      <c r="C17" s="9">
        <v>0.25</v>
      </c>
      <c r="D17" s="9">
        <v>0</v>
      </c>
      <c r="E17" s="9">
        <v>1</v>
      </c>
      <c r="K17" s="10">
        <v>1</v>
      </c>
      <c r="L17" s="9">
        <v>0.70588235294117652</v>
      </c>
      <c r="M17" s="9">
        <v>0.29411764705882354</v>
      </c>
      <c r="N17" s="9">
        <v>0</v>
      </c>
      <c r="O17" s="9">
        <v>1</v>
      </c>
    </row>
    <row r="18" spans="1:15" x14ac:dyDescent="0.25">
      <c r="A18" s="10">
        <v>2</v>
      </c>
      <c r="B18" s="9">
        <v>0.625</v>
      </c>
      <c r="C18" s="9">
        <v>0.375</v>
      </c>
      <c r="D18" s="9">
        <v>0</v>
      </c>
      <c r="E18" s="9">
        <v>1</v>
      </c>
      <c r="K18" s="10">
        <v>2</v>
      </c>
      <c r="L18" s="9">
        <v>0.6875</v>
      </c>
      <c r="M18" s="9">
        <v>0.3125</v>
      </c>
      <c r="N18" s="9">
        <v>0</v>
      </c>
      <c r="O18" s="9">
        <v>1</v>
      </c>
    </row>
    <row r="19" spans="1:15" x14ac:dyDescent="0.25">
      <c r="A19" s="10">
        <v>3</v>
      </c>
      <c r="B19" s="9">
        <v>0.625</v>
      </c>
      <c r="C19" s="9">
        <v>0.375</v>
      </c>
      <c r="D19" s="9">
        <v>0</v>
      </c>
      <c r="E19" s="9">
        <v>1</v>
      </c>
      <c r="K19" s="10">
        <v>3</v>
      </c>
      <c r="L19" s="9">
        <v>0.7142857142857143</v>
      </c>
      <c r="M19" s="9">
        <v>0.2857142857142857</v>
      </c>
      <c r="N19" s="9">
        <v>0</v>
      </c>
      <c r="O19" s="9">
        <v>1</v>
      </c>
    </row>
    <row r="20" spans="1:15" x14ac:dyDescent="0.25">
      <c r="A20" s="10">
        <v>4</v>
      </c>
      <c r="B20" s="9">
        <v>0.6</v>
      </c>
      <c r="C20" s="9">
        <v>0.4</v>
      </c>
      <c r="D20" s="9">
        <v>0</v>
      </c>
      <c r="E20" s="9">
        <v>1</v>
      </c>
      <c r="K20" s="10">
        <v>4</v>
      </c>
      <c r="L20" s="9">
        <v>0.66666666666666663</v>
      </c>
      <c r="M20" s="9">
        <v>0.33333333333333331</v>
      </c>
      <c r="N20" s="9">
        <v>0</v>
      </c>
      <c r="O20" s="9">
        <v>1</v>
      </c>
    </row>
    <row r="21" spans="1:15" x14ac:dyDescent="0.25">
      <c r="A21" s="10">
        <v>5</v>
      </c>
      <c r="B21" s="9">
        <v>0.7142857142857143</v>
      </c>
      <c r="C21" s="9">
        <v>0.2857142857142857</v>
      </c>
      <c r="D21" s="9">
        <v>0</v>
      </c>
      <c r="E21" s="9">
        <v>1</v>
      </c>
      <c r="K21" s="10">
        <v>5</v>
      </c>
      <c r="L21" s="9">
        <v>0.6</v>
      </c>
      <c r="M21" s="9">
        <v>0.4</v>
      </c>
      <c r="N21" s="9">
        <v>0</v>
      </c>
      <c r="O21" s="9">
        <v>1</v>
      </c>
    </row>
    <row r="22" spans="1:15" x14ac:dyDescent="0.25">
      <c r="A22" s="10">
        <v>6</v>
      </c>
      <c r="B22" s="9">
        <v>0.375</v>
      </c>
      <c r="C22" s="9">
        <v>0.625</v>
      </c>
      <c r="D22" s="9">
        <v>0</v>
      </c>
      <c r="E22" s="9">
        <v>1</v>
      </c>
      <c r="K22" s="10">
        <v>6</v>
      </c>
      <c r="L22" s="9">
        <v>0.44444444444444442</v>
      </c>
      <c r="M22" s="9">
        <v>0.55555555555555558</v>
      </c>
      <c r="N22" s="9">
        <v>0</v>
      </c>
      <c r="O22" s="9">
        <v>1</v>
      </c>
    </row>
    <row r="23" spans="1:15" x14ac:dyDescent="0.25">
      <c r="A23" s="10">
        <v>7</v>
      </c>
      <c r="B23" s="9">
        <v>0.6</v>
      </c>
      <c r="C23" s="9">
        <v>0.4</v>
      </c>
      <c r="D23" s="9">
        <v>0</v>
      </c>
      <c r="E23" s="9">
        <v>1</v>
      </c>
      <c r="K23" s="10">
        <v>7</v>
      </c>
      <c r="L23" s="9">
        <v>0.5</v>
      </c>
      <c r="M23" s="9">
        <v>0.5</v>
      </c>
      <c r="N23" s="9">
        <v>0</v>
      </c>
      <c r="O23" s="9">
        <v>1</v>
      </c>
    </row>
    <row r="24" spans="1:15" x14ac:dyDescent="0.25">
      <c r="A24" s="10">
        <v>8</v>
      </c>
      <c r="B24" s="9">
        <v>0.5714285714285714</v>
      </c>
      <c r="C24" s="9">
        <v>0.42857142857142855</v>
      </c>
      <c r="D24" s="9">
        <v>0</v>
      </c>
      <c r="E24" s="9">
        <v>1</v>
      </c>
      <c r="K24" s="10">
        <v>8</v>
      </c>
      <c r="L24" s="9">
        <v>1</v>
      </c>
      <c r="M24" s="9">
        <v>0</v>
      </c>
      <c r="N24" s="9">
        <v>0</v>
      </c>
      <c r="O24" s="9">
        <v>1</v>
      </c>
    </row>
    <row r="25" spans="1:15" x14ac:dyDescent="0.25">
      <c r="A25" s="10">
        <v>9</v>
      </c>
      <c r="B25" s="9">
        <v>0.5</v>
      </c>
      <c r="C25" s="9">
        <v>0.5</v>
      </c>
      <c r="D25" s="9">
        <v>0</v>
      </c>
      <c r="E25" s="9">
        <v>1</v>
      </c>
      <c r="K25" s="10">
        <v>9</v>
      </c>
      <c r="L25" s="9">
        <v>0</v>
      </c>
      <c r="M25" s="9">
        <v>1</v>
      </c>
      <c r="N25" s="9">
        <v>0</v>
      </c>
      <c r="O25" s="9">
        <v>1</v>
      </c>
    </row>
    <row r="26" spans="1:15" x14ac:dyDescent="0.25">
      <c r="A26" s="10">
        <v>10</v>
      </c>
      <c r="B26" s="9">
        <v>0.66666666666666663</v>
      </c>
      <c r="C26" s="9">
        <v>0.33333333333333331</v>
      </c>
      <c r="D26" s="9">
        <v>0</v>
      </c>
      <c r="E26" s="9">
        <v>1</v>
      </c>
      <c r="K26" s="10">
        <v>10</v>
      </c>
      <c r="L26" s="9">
        <v>0.5</v>
      </c>
      <c r="M26" s="9">
        <v>0.5</v>
      </c>
      <c r="N26" s="9">
        <v>0</v>
      </c>
      <c r="O26" s="9">
        <v>1</v>
      </c>
    </row>
    <row r="27" spans="1:15" x14ac:dyDescent="0.25">
      <c r="A27" s="10">
        <v>23</v>
      </c>
      <c r="B27" s="9" t="e">
        <v>#DIV/0!</v>
      </c>
      <c r="C27" s="9" t="e">
        <v>#DIV/0!</v>
      </c>
      <c r="D27" s="9" t="e">
        <v>#DIV/0!</v>
      </c>
      <c r="E27" s="9" t="e">
        <v>#DIV/0!</v>
      </c>
      <c r="K27" s="10">
        <v>11</v>
      </c>
      <c r="L27" s="9">
        <v>0</v>
      </c>
      <c r="M27" s="9">
        <v>1</v>
      </c>
      <c r="N27" s="9">
        <v>0</v>
      </c>
      <c r="O27" s="9">
        <v>1</v>
      </c>
    </row>
    <row r="28" spans="1:15" x14ac:dyDescent="0.25">
      <c r="A28" s="10">
        <v>24</v>
      </c>
      <c r="B28" s="9" t="e">
        <v>#DIV/0!</v>
      </c>
      <c r="C28" s="9" t="e">
        <v>#DIV/0!</v>
      </c>
      <c r="D28" s="9" t="e">
        <v>#DIV/0!</v>
      </c>
      <c r="E28" s="9" t="e">
        <v>#DIV/0!</v>
      </c>
      <c r="K28" s="10">
        <v>12</v>
      </c>
      <c r="L28" s="9">
        <v>0.5</v>
      </c>
      <c r="M28" s="9">
        <v>0.5</v>
      </c>
      <c r="N28" s="9">
        <v>0</v>
      </c>
      <c r="O28" s="9">
        <v>1</v>
      </c>
    </row>
    <row r="29" spans="1:15" x14ac:dyDescent="0.25">
      <c r="A29" s="10">
        <v>25</v>
      </c>
      <c r="B29" s="9" t="e">
        <v>#DIV/0!</v>
      </c>
      <c r="C29" s="9" t="e">
        <v>#DIV/0!</v>
      </c>
      <c r="D29" s="9" t="e">
        <v>#DIV/0!</v>
      </c>
      <c r="E29" s="9" t="e">
        <v>#DIV/0!</v>
      </c>
      <c r="K29" s="10">
        <v>13</v>
      </c>
      <c r="L29" s="9">
        <v>0.5</v>
      </c>
      <c r="M29" s="9">
        <v>0.5</v>
      </c>
      <c r="N29" s="9">
        <v>0</v>
      </c>
      <c r="O29" s="9">
        <v>1</v>
      </c>
    </row>
    <row r="30" spans="1:15" x14ac:dyDescent="0.25">
      <c r="A30" s="10">
        <v>26</v>
      </c>
      <c r="B30" s="9" t="e">
        <v>#DIV/0!</v>
      </c>
      <c r="C30" s="9" t="e">
        <v>#DIV/0!</v>
      </c>
      <c r="D30" s="9" t="e">
        <v>#DIV/0!</v>
      </c>
      <c r="E30" s="9" t="e">
        <v>#DIV/0!</v>
      </c>
      <c r="K30" s="10">
        <v>14</v>
      </c>
      <c r="L30" s="9">
        <v>1</v>
      </c>
      <c r="M30" s="9">
        <v>0</v>
      </c>
      <c r="N30" s="9">
        <v>0</v>
      </c>
      <c r="O30" s="9">
        <v>1</v>
      </c>
    </row>
    <row r="31" spans="1:15" x14ac:dyDescent="0.25">
      <c r="A31" s="10">
        <v>27</v>
      </c>
      <c r="B31" s="9" t="e">
        <v>#DIV/0!</v>
      </c>
      <c r="C31" s="9" t="e">
        <v>#DIV/0!</v>
      </c>
      <c r="D31" s="9" t="e">
        <v>#DIV/0!</v>
      </c>
      <c r="E31" s="9" t="e">
        <v>#DIV/0!</v>
      </c>
      <c r="K31" s="10">
        <v>15</v>
      </c>
      <c r="L31" s="9">
        <v>0</v>
      </c>
      <c r="M31" s="9">
        <v>1</v>
      </c>
      <c r="N31" s="9">
        <v>0</v>
      </c>
      <c r="O31" s="9">
        <v>1</v>
      </c>
    </row>
    <row r="32" spans="1:15" x14ac:dyDescent="0.25">
      <c r="A32" s="10">
        <v>28</v>
      </c>
      <c r="B32" s="9" t="e">
        <v>#DIV/0!</v>
      </c>
      <c r="C32" s="9" t="e">
        <v>#DIV/0!</v>
      </c>
      <c r="D32" s="9" t="e">
        <v>#DIV/0!</v>
      </c>
      <c r="E32" s="9" t="e">
        <v>#DIV/0!</v>
      </c>
      <c r="K32" s="10">
        <v>16</v>
      </c>
      <c r="L32" s="9">
        <v>0</v>
      </c>
      <c r="M32" s="9">
        <v>1</v>
      </c>
      <c r="N32" s="9">
        <v>0</v>
      </c>
      <c r="O32" s="9">
        <v>1</v>
      </c>
    </row>
    <row r="33" spans="1:15" x14ac:dyDescent="0.25">
      <c r="A33" s="10">
        <v>67</v>
      </c>
      <c r="B33" s="9" t="e">
        <v>#DIV/0!</v>
      </c>
      <c r="C33" s="9" t="e">
        <v>#DIV/0!</v>
      </c>
      <c r="D33" s="9" t="e">
        <v>#DIV/0!</v>
      </c>
      <c r="E33" s="9" t="e">
        <v>#DIV/0!</v>
      </c>
      <c r="K33" s="10">
        <v>17</v>
      </c>
      <c r="L33" s="9">
        <v>0</v>
      </c>
      <c r="M33" s="9">
        <v>1</v>
      </c>
      <c r="N33" s="9">
        <v>0</v>
      </c>
      <c r="O33" s="9">
        <v>1</v>
      </c>
    </row>
    <row r="34" spans="1:15" x14ac:dyDescent="0.25">
      <c r="A34" s="8" t="s">
        <v>976</v>
      </c>
      <c r="B34" s="9">
        <v>0.6071428571428571</v>
      </c>
      <c r="C34" s="9">
        <v>0.39285714285714285</v>
      </c>
      <c r="D34" s="9">
        <v>0</v>
      </c>
      <c r="E34" s="9">
        <v>1</v>
      </c>
      <c r="K34" s="10">
        <v>18</v>
      </c>
      <c r="L34" s="9">
        <v>0</v>
      </c>
      <c r="M34" s="9">
        <v>1</v>
      </c>
      <c r="N34" s="9">
        <v>0</v>
      </c>
      <c r="O34" s="9">
        <v>1</v>
      </c>
    </row>
    <row r="35" spans="1:15" x14ac:dyDescent="0.25">
      <c r="K35" s="10">
        <v>19</v>
      </c>
      <c r="L35" s="9">
        <v>0</v>
      </c>
      <c r="M35" s="9">
        <v>1</v>
      </c>
      <c r="N35" s="9">
        <v>0</v>
      </c>
      <c r="O35" s="9">
        <v>1</v>
      </c>
    </row>
    <row r="36" spans="1:15" x14ac:dyDescent="0.25">
      <c r="K36" s="10">
        <v>20</v>
      </c>
      <c r="L36" s="9">
        <v>0</v>
      </c>
      <c r="M36" s="9">
        <v>1</v>
      </c>
      <c r="N36" s="9">
        <v>0</v>
      </c>
      <c r="O36" s="9">
        <v>1</v>
      </c>
    </row>
    <row r="37" spans="1:15" x14ac:dyDescent="0.25">
      <c r="K37" s="10">
        <v>21</v>
      </c>
      <c r="L37" s="9">
        <v>0</v>
      </c>
      <c r="M37" s="9">
        <v>1</v>
      </c>
      <c r="N37" s="9">
        <v>0</v>
      </c>
      <c r="O37" s="9">
        <v>1</v>
      </c>
    </row>
    <row r="38" spans="1:15" x14ac:dyDescent="0.25">
      <c r="K38" s="10">
        <v>22</v>
      </c>
      <c r="L38" s="9">
        <v>0</v>
      </c>
      <c r="M38" s="9">
        <v>1</v>
      </c>
      <c r="N38" s="9">
        <v>0</v>
      </c>
      <c r="O38" s="9">
        <v>1</v>
      </c>
    </row>
    <row r="39" spans="1:15" x14ac:dyDescent="0.25">
      <c r="K39" s="10">
        <v>23</v>
      </c>
      <c r="L39" s="9" t="e">
        <v>#DIV/0!</v>
      </c>
      <c r="M39" s="9" t="e">
        <v>#DIV/0!</v>
      </c>
      <c r="N39" s="9" t="e">
        <v>#DIV/0!</v>
      </c>
      <c r="O39" s="9" t="e">
        <v>#DIV/0!</v>
      </c>
    </row>
    <row r="40" spans="1:15" x14ac:dyDescent="0.25">
      <c r="K40" s="10">
        <v>24</v>
      </c>
      <c r="L40" s="9" t="e">
        <v>#DIV/0!</v>
      </c>
      <c r="M40" s="9" t="e">
        <v>#DIV/0!</v>
      </c>
      <c r="N40" s="9" t="e">
        <v>#DIV/0!</v>
      </c>
      <c r="O40" s="9" t="e">
        <v>#DIV/0!</v>
      </c>
    </row>
    <row r="41" spans="1:15" x14ac:dyDescent="0.25">
      <c r="K41" s="10">
        <v>25</v>
      </c>
      <c r="L41" s="9" t="e">
        <v>#DIV/0!</v>
      </c>
      <c r="M41" s="9" t="e">
        <v>#DIV/0!</v>
      </c>
      <c r="N41" s="9" t="e">
        <v>#DIV/0!</v>
      </c>
      <c r="O41" s="9" t="e">
        <v>#DIV/0!</v>
      </c>
    </row>
    <row r="42" spans="1:15" x14ac:dyDescent="0.25">
      <c r="K42" s="10">
        <v>26</v>
      </c>
      <c r="L42" s="9" t="e">
        <v>#DIV/0!</v>
      </c>
      <c r="M42" s="9" t="e">
        <v>#DIV/0!</v>
      </c>
      <c r="N42" s="9" t="e">
        <v>#DIV/0!</v>
      </c>
      <c r="O42" s="9" t="e">
        <v>#DIV/0!</v>
      </c>
    </row>
    <row r="43" spans="1:15" x14ac:dyDescent="0.25">
      <c r="K43" s="10">
        <v>27</v>
      </c>
      <c r="L43" s="9" t="e">
        <v>#DIV/0!</v>
      </c>
      <c r="M43" s="9" t="e">
        <v>#DIV/0!</v>
      </c>
      <c r="N43" s="9" t="e">
        <v>#DIV/0!</v>
      </c>
      <c r="O43" s="9" t="e">
        <v>#DIV/0!</v>
      </c>
    </row>
    <row r="44" spans="1:15" x14ac:dyDescent="0.25">
      <c r="K44" s="10">
        <v>28</v>
      </c>
      <c r="L44" s="9" t="e">
        <v>#DIV/0!</v>
      </c>
      <c r="M44" s="9" t="e">
        <v>#DIV/0!</v>
      </c>
      <c r="N44" s="9" t="e">
        <v>#DIV/0!</v>
      </c>
      <c r="O44" s="9" t="e">
        <v>#DIV/0!</v>
      </c>
    </row>
    <row r="45" spans="1:15" x14ac:dyDescent="0.25">
      <c r="K45" s="10">
        <v>29</v>
      </c>
      <c r="L45" s="9" t="e">
        <v>#DIV/0!</v>
      </c>
      <c r="M45" s="9" t="e">
        <v>#DIV/0!</v>
      </c>
      <c r="N45" s="9" t="e">
        <v>#DIV/0!</v>
      </c>
      <c r="O45" s="9" t="e">
        <v>#DIV/0!</v>
      </c>
    </row>
    <row r="46" spans="1:15" x14ac:dyDescent="0.25">
      <c r="K46" s="10">
        <v>30</v>
      </c>
      <c r="L46" s="9" t="e">
        <v>#DIV/0!</v>
      </c>
      <c r="M46" s="9" t="e">
        <v>#DIV/0!</v>
      </c>
      <c r="N46" s="9" t="e">
        <v>#DIV/0!</v>
      </c>
      <c r="O46" s="9" t="e">
        <v>#DIV/0!</v>
      </c>
    </row>
    <row r="47" spans="1:15" x14ac:dyDescent="0.25">
      <c r="K47" s="10">
        <v>31</v>
      </c>
      <c r="L47" s="9" t="e">
        <v>#DIV/0!</v>
      </c>
      <c r="M47" s="9" t="e">
        <v>#DIV/0!</v>
      </c>
      <c r="N47" s="9" t="e">
        <v>#DIV/0!</v>
      </c>
      <c r="O47" s="9" t="e">
        <v>#DIV/0!</v>
      </c>
    </row>
    <row r="48" spans="1:15" x14ac:dyDescent="0.25">
      <c r="K48" s="10">
        <v>32</v>
      </c>
      <c r="L48" s="9" t="e">
        <v>#DIV/0!</v>
      </c>
      <c r="M48" s="9" t="e">
        <v>#DIV/0!</v>
      </c>
      <c r="N48" s="9" t="e">
        <v>#DIV/0!</v>
      </c>
      <c r="O48" s="9" t="e">
        <v>#DIV/0!</v>
      </c>
    </row>
    <row r="49" spans="11:15" x14ac:dyDescent="0.25">
      <c r="K49" s="10">
        <v>33</v>
      </c>
      <c r="L49" s="9" t="e">
        <v>#DIV/0!</v>
      </c>
      <c r="M49" s="9" t="e">
        <v>#DIV/0!</v>
      </c>
      <c r="N49" s="9" t="e">
        <v>#DIV/0!</v>
      </c>
      <c r="O49" s="9" t="e">
        <v>#DIV/0!</v>
      </c>
    </row>
    <row r="50" spans="11:15" x14ac:dyDescent="0.25">
      <c r="K50" s="10">
        <v>34</v>
      </c>
      <c r="L50" s="9" t="e">
        <v>#DIV/0!</v>
      </c>
      <c r="M50" s="9" t="e">
        <v>#DIV/0!</v>
      </c>
      <c r="N50" s="9" t="e">
        <v>#DIV/0!</v>
      </c>
      <c r="O50" s="9" t="e">
        <v>#DIV/0!</v>
      </c>
    </row>
    <row r="51" spans="11:15" x14ac:dyDescent="0.25">
      <c r="K51" s="10">
        <v>35</v>
      </c>
      <c r="L51" s="9" t="e">
        <v>#DIV/0!</v>
      </c>
      <c r="M51" s="9" t="e">
        <v>#DIV/0!</v>
      </c>
      <c r="N51" s="9" t="e">
        <v>#DIV/0!</v>
      </c>
      <c r="O51" s="9" t="e">
        <v>#DIV/0!</v>
      </c>
    </row>
    <row r="52" spans="11:15" x14ac:dyDescent="0.25">
      <c r="K52" s="10">
        <v>36</v>
      </c>
      <c r="L52" s="9" t="e">
        <v>#DIV/0!</v>
      </c>
      <c r="M52" s="9" t="e">
        <v>#DIV/0!</v>
      </c>
      <c r="N52" s="9" t="e">
        <v>#DIV/0!</v>
      </c>
      <c r="O52" s="9" t="e">
        <v>#DIV/0!</v>
      </c>
    </row>
    <row r="53" spans="11:15" x14ac:dyDescent="0.25">
      <c r="K53" s="10">
        <v>37</v>
      </c>
      <c r="L53" s="9" t="e">
        <v>#DIV/0!</v>
      </c>
      <c r="M53" s="9" t="e">
        <v>#DIV/0!</v>
      </c>
      <c r="N53" s="9" t="e">
        <v>#DIV/0!</v>
      </c>
      <c r="O53" s="9" t="e">
        <v>#DIV/0!</v>
      </c>
    </row>
    <row r="54" spans="11:15" x14ac:dyDescent="0.25">
      <c r="K54" s="10">
        <v>38</v>
      </c>
      <c r="L54" s="9" t="e">
        <v>#DIV/0!</v>
      </c>
      <c r="M54" s="9" t="e">
        <v>#DIV/0!</v>
      </c>
      <c r="N54" s="9" t="e">
        <v>#DIV/0!</v>
      </c>
      <c r="O54" s="9" t="e">
        <v>#DIV/0!</v>
      </c>
    </row>
    <row r="55" spans="11:15" x14ac:dyDescent="0.25">
      <c r="K55" s="10">
        <v>39</v>
      </c>
      <c r="L55" s="9" t="e">
        <v>#DIV/0!</v>
      </c>
      <c r="M55" s="9" t="e">
        <v>#DIV/0!</v>
      </c>
      <c r="N55" s="9" t="e">
        <v>#DIV/0!</v>
      </c>
      <c r="O55" s="9" t="e">
        <v>#DIV/0!</v>
      </c>
    </row>
    <row r="56" spans="11:15" x14ac:dyDescent="0.25">
      <c r="K56" s="8" t="s">
        <v>976</v>
      </c>
      <c r="L56" s="9">
        <v>0.57547169811320753</v>
      </c>
      <c r="M56" s="9">
        <v>0.42452830188679247</v>
      </c>
      <c r="N56" s="9">
        <v>0</v>
      </c>
      <c r="O56" s="9">
        <v>1</v>
      </c>
    </row>
  </sheetData>
  <conditionalFormatting pivot="1" sqref="B6:B9">
    <cfRule type="dataBar" priority="9">
      <dataBar>
        <cfvo type="min"/>
        <cfvo type="num" val="1"/>
        <color rgb="FF63C384"/>
      </dataBar>
      <extLst>
        <ext xmlns:x14="http://schemas.microsoft.com/office/spreadsheetml/2009/9/main" uri="{B025F937-C7B1-47D3-B67F-A62EFF666E3E}">
          <x14:id>{2F70B2B3-72E4-4CEB-B5CF-EA15FB77CB09}</x14:id>
        </ext>
      </extLst>
    </cfRule>
  </conditionalFormatting>
  <conditionalFormatting pivot="1" sqref="D6:D9">
    <cfRule type="dataBar" priority="8">
      <dataBar>
        <cfvo type="min"/>
        <cfvo type="num" val="1"/>
        <color rgb="FFFF555A"/>
      </dataBar>
      <extLst>
        <ext xmlns:x14="http://schemas.microsoft.com/office/spreadsheetml/2009/9/main" uri="{B025F937-C7B1-47D3-B67F-A62EFF666E3E}">
          <x14:id>{3FB4660F-7155-41BF-87BF-F8EE7BEF7C47}</x14:id>
        </ext>
      </extLst>
    </cfRule>
  </conditionalFormatting>
  <conditionalFormatting pivot="1" sqref="G6:G9">
    <cfRule type="dataBar" priority="7">
      <dataBar>
        <cfvo type="min"/>
        <cfvo type="max"/>
        <color rgb="FFFFB628"/>
      </dataBar>
      <extLst>
        <ext xmlns:x14="http://schemas.microsoft.com/office/spreadsheetml/2009/9/main" uri="{B025F937-C7B1-47D3-B67F-A62EFF666E3E}">
          <x14:id>{39BE4890-48B7-49C1-B1B7-75C9B2316F38}</x14:id>
        </ext>
      </extLst>
    </cfRule>
  </conditionalFormatting>
  <conditionalFormatting pivot="1" sqref="B17:B33">
    <cfRule type="dataBar" priority="6">
      <dataBar>
        <cfvo type="min"/>
        <cfvo type="max"/>
        <color rgb="FF63C384"/>
      </dataBar>
      <extLst>
        <ext xmlns:x14="http://schemas.microsoft.com/office/spreadsheetml/2009/9/main" uri="{B025F937-C7B1-47D3-B67F-A62EFF666E3E}">
          <x14:id>{DF1B82D8-B2EC-44D9-AE5F-ACB88CF5C697}</x14:id>
        </ext>
      </extLst>
    </cfRule>
  </conditionalFormatting>
  <conditionalFormatting pivot="1" sqref="C17:C33 C16">
    <cfRule type="dataBar" priority="5">
      <dataBar>
        <cfvo type="min"/>
        <cfvo type="max"/>
        <color rgb="FFFF555A"/>
      </dataBar>
      <extLst>
        <ext xmlns:x14="http://schemas.microsoft.com/office/spreadsheetml/2009/9/main" uri="{B025F937-C7B1-47D3-B67F-A62EFF666E3E}">
          <x14:id>{B720E75E-B8AA-46E3-84A2-77BB6DBD198F}</x14:id>
        </ext>
      </extLst>
    </cfRule>
  </conditionalFormatting>
  <conditionalFormatting pivot="1" sqref="L17:L46">
    <cfRule type="dataBar" priority="2">
      <dataBar>
        <cfvo type="min"/>
        <cfvo type="max"/>
        <color rgb="FF63C384"/>
      </dataBar>
      <extLst>
        <ext xmlns:x14="http://schemas.microsoft.com/office/spreadsheetml/2009/9/main" uri="{B025F937-C7B1-47D3-B67F-A62EFF666E3E}">
          <x14:id>{D2E4CBFF-0016-4BFA-BEC6-F794F9F9D600}</x14:id>
        </ext>
      </extLst>
    </cfRule>
  </conditionalFormatting>
  <conditionalFormatting pivot="1" sqref="M17:M52">
    <cfRule type="dataBar" priority="1">
      <dataBar>
        <cfvo type="min"/>
        <cfvo type="max"/>
        <color rgb="FFFF555A"/>
      </dataBar>
      <extLst>
        <ext xmlns:x14="http://schemas.microsoft.com/office/spreadsheetml/2009/9/main" uri="{B025F937-C7B1-47D3-B67F-A62EFF666E3E}">
          <x14:id>{1899F79F-FB33-462E-9CC5-D0084E692B35}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F70B2B3-72E4-4CEB-B5CF-EA15FB77CB09}">
            <x14:dataBar minLength="0" maxLength="100" border="1" negativeBarBorderColorSameAsPositive="0">
              <x14:cfvo type="autoMin"/>
              <x14:cfvo type="num">
                <xm:f>1</xm:f>
              </x14:cfvo>
              <x14:borderColor rgb="FF63C384"/>
              <x14:negativeFillColor rgb="FFFF0000"/>
              <x14:negativeBorderColor rgb="FFFF0000"/>
              <x14:axisColor rgb="FF000000"/>
            </x14:dataBar>
          </x14:cfRule>
          <xm:sqref>B6:B9</xm:sqref>
        </x14:conditionalFormatting>
        <x14:conditionalFormatting xmlns:xm="http://schemas.microsoft.com/office/excel/2006/main" pivot="1">
          <x14:cfRule type="dataBar" id="{3FB4660F-7155-41BF-87BF-F8EE7BEF7C47}">
            <x14:dataBar minLength="0" maxLength="100" border="1" negativeBarBorderColorSameAsPositive="0">
              <x14:cfvo type="autoMin"/>
              <x14:cfvo type="num">
                <xm:f>1</xm:f>
              </x14:cfvo>
              <x14:borderColor rgb="FFFF555A"/>
              <x14:negativeFillColor rgb="FFFF0000"/>
              <x14:negativeBorderColor rgb="FFFF0000"/>
              <x14:axisColor rgb="FF000000"/>
            </x14:dataBar>
          </x14:cfRule>
          <xm:sqref>D6:D9</xm:sqref>
        </x14:conditionalFormatting>
        <x14:conditionalFormatting xmlns:xm="http://schemas.microsoft.com/office/excel/2006/main" pivot="1">
          <x14:cfRule type="dataBar" id="{39BE4890-48B7-49C1-B1B7-75C9B2316F38}">
            <x14:dataBar minLength="0" maxLength="100" border="1" negativeBarBorderColorSameAsPositive="0">
              <x14:cfvo type="autoMin"/>
              <x14:cfvo type="autoMax"/>
              <x14:borderColor rgb="FFFFB628"/>
              <x14:negativeFillColor rgb="FFFF0000"/>
              <x14:negativeBorderColor rgb="FFFF0000"/>
              <x14:axisColor rgb="FF000000"/>
            </x14:dataBar>
          </x14:cfRule>
          <xm:sqref>G6:G9</xm:sqref>
        </x14:conditionalFormatting>
        <x14:conditionalFormatting xmlns:xm="http://schemas.microsoft.com/office/excel/2006/main" pivot="1">
          <x14:cfRule type="dataBar" id="{DF1B82D8-B2EC-44D9-AE5F-ACB88CF5C697}">
            <x14:dataBar minLength="0" maxLength="100" border="1" negativeBarBorderColorSameAsPositive="0">
              <x14:cfvo type="autoMin"/>
              <x14:cfvo type="autoMax"/>
              <x14:borderColor rgb="FF63C384"/>
              <x14:negativeFillColor rgb="FFFF0000"/>
              <x14:negativeBorderColor rgb="FFFF0000"/>
              <x14:axisColor rgb="FF000000"/>
            </x14:dataBar>
          </x14:cfRule>
          <xm:sqref>B17:B33</xm:sqref>
        </x14:conditionalFormatting>
        <x14:conditionalFormatting xmlns:xm="http://schemas.microsoft.com/office/excel/2006/main" pivot="1">
          <x14:cfRule type="dataBar" id="{B720E75E-B8AA-46E3-84A2-77BB6DBD198F}">
            <x14:dataBar minLength="0" maxLength="100" border="1" negativeBarBorderColorSameAsPositive="0">
              <x14:cfvo type="autoMin"/>
              <x14:cfvo type="autoMax"/>
              <x14:borderColor rgb="FFFF555A"/>
              <x14:negativeFillColor rgb="FFFF0000"/>
              <x14:negativeBorderColor rgb="FFFF0000"/>
              <x14:axisColor rgb="FF000000"/>
            </x14:dataBar>
          </x14:cfRule>
          <xm:sqref>C17:C33 C16</xm:sqref>
        </x14:conditionalFormatting>
        <x14:conditionalFormatting xmlns:xm="http://schemas.microsoft.com/office/excel/2006/main" pivot="1">
          <x14:cfRule type="dataBar" id="{D2E4CBFF-0016-4BFA-BEC6-F794F9F9D600}">
            <x14:dataBar minLength="0" maxLength="100" border="1" negativeBarBorderColorSameAsPositive="0">
              <x14:cfvo type="autoMin"/>
              <x14:cfvo type="autoMax"/>
              <x14:borderColor rgb="FF63C384"/>
              <x14:negativeFillColor rgb="FFFF0000"/>
              <x14:negativeBorderColor rgb="FFFF0000"/>
              <x14:axisColor rgb="FF000000"/>
            </x14:dataBar>
          </x14:cfRule>
          <xm:sqref>L17:L46</xm:sqref>
        </x14:conditionalFormatting>
        <x14:conditionalFormatting xmlns:xm="http://schemas.microsoft.com/office/excel/2006/main" pivot="1">
          <x14:cfRule type="dataBar" id="{1899F79F-FB33-462E-9CC5-D0084E692B35}">
            <x14:dataBar minLength="0" maxLength="100" border="1" negativeBarBorderColorSameAsPositive="0">
              <x14:cfvo type="autoMin"/>
              <x14:cfvo type="autoMax"/>
              <x14:borderColor rgb="FFFF555A"/>
              <x14:negativeFillColor rgb="FFFF0000"/>
              <x14:negativeBorderColor rgb="FFFF0000"/>
              <x14:axisColor rgb="FF000000"/>
            </x14:dataBar>
          </x14:cfRule>
          <xm:sqref>M17:M52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3C35-DC49-4EC8-919C-C3BAF23F2CD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2410340-5f42-4ac0-be59-d6d4cec78c4f">
      <Terms xmlns="http://schemas.microsoft.com/office/infopath/2007/PartnerControls"/>
    </lcf76f155ced4ddcb4097134ff3c332f>
    <TaxCatchAll xmlns="43fa4ac3-495a-4b9a-a75f-c4a1f5fb7e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5A07A53F7156B4292531A372CC82B35" ma:contentTypeVersion="16" ma:contentTypeDescription="Een nieuw document maken." ma:contentTypeScope="" ma:versionID="60092c9c9c7643db7b2ad52558f0cf7d">
  <xsd:schema xmlns:xsd="http://www.w3.org/2001/XMLSchema" xmlns:xs="http://www.w3.org/2001/XMLSchema" xmlns:p="http://schemas.microsoft.com/office/2006/metadata/properties" xmlns:ns2="c2410340-5f42-4ac0-be59-d6d4cec78c4f" xmlns:ns3="43fa4ac3-495a-4b9a-a75f-c4a1f5fb7e75" targetNamespace="http://schemas.microsoft.com/office/2006/metadata/properties" ma:root="true" ma:fieldsID="07a4fc16a06095c282da8b37b032108f" ns2:_="" ns3:_="">
    <xsd:import namespace="c2410340-5f42-4ac0-be59-d6d4cec78c4f"/>
    <xsd:import namespace="43fa4ac3-495a-4b9a-a75f-c4a1f5fb7e7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410340-5f42-4ac0-be59-d6d4cec78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64b86b73-2342-47b0-9d40-2b0f73785461"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fa4ac3-495a-4b9a-a75f-c4a1f5fb7e75"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5" nillable="true" ma:displayName="Taxonomy Catch All Column" ma:hidden="true" ma:list="{ef968a59-97e2-4249-b088-9f0dadebda3c}" ma:internalName="TaxCatchAll" ma:showField="CatchAllData" ma:web="43fa4ac3-495a-4b9a-a75f-c4a1f5fb7e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A262B7-1DDF-41FD-BD77-5BA7305918B1}">
  <ds:schemaRefs>
    <ds:schemaRef ds:uri="http://schemas.microsoft.com/office/2006/metadata/properties"/>
    <ds:schemaRef ds:uri="http://schemas.microsoft.com/office/infopath/2007/PartnerControls"/>
    <ds:schemaRef ds:uri="c2410340-5f42-4ac0-be59-d6d4cec78c4f"/>
    <ds:schemaRef ds:uri="43fa4ac3-495a-4b9a-a75f-c4a1f5fb7e75"/>
  </ds:schemaRefs>
</ds:datastoreItem>
</file>

<file path=customXml/itemProps2.xml><?xml version="1.0" encoding="utf-8"?>
<ds:datastoreItem xmlns:ds="http://schemas.openxmlformats.org/officeDocument/2006/customXml" ds:itemID="{411D76D7-1D09-4DD0-8FC5-E529A44490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410340-5f42-4ac0-be59-d6d4cec78c4f"/>
    <ds:schemaRef ds:uri="43fa4ac3-495a-4b9a-a75f-c4a1f5fb7e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C71113-0D8E-4016-8924-95D20DB3C2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result</vt:lpstr>
      <vt:lpstr>keyllm</vt:lpstr>
      <vt:lpstr>result_pivot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Vercruyssen Max</cp:lastModifiedBy>
  <cp:revision/>
  <dcterms:created xsi:type="dcterms:W3CDTF">2026-08-26T14:49:55Z</dcterms:created>
  <dcterms:modified xsi:type="dcterms:W3CDTF">2026-10-06T08:03:07Z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0x01010045A07A53F7156B4292531A372CC82B35</vt:lpwstr>
  </property>
  <property fmtid="{D5CDD505-2E9C-101B-9397-08002B2CF9AE}" pid="3" name="MediaServiceImageTags">
    <vt:lpwstr/>
  </property>
</Properties>
</file>